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dan\Desktop\CFE Brain\entregables\propuestas\"/>
    </mc:Choice>
  </mc:AlternateContent>
  <xr:revisionPtr revIDLastSave="0" documentId="13_ncr:1_{83F9F328-0356-47C9-BF80-652A4AD9DF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Supuestos" sheetId="2" r:id="rId2"/>
    <sheet name="Preforma 1" sheetId="3" r:id="rId3"/>
    <sheet name="Preforma 2" sheetId="4" r:id="rId4"/>
    <sheet name="Tapa" sheetId="5" r:id="rId5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1" i="5" l="1"/>
  <c r="H211" i="5" s="1"/>
  <c r="E210" i="5"/>
  <c r="H210" i="5" s="1"/>
  <c r="E209" i="5"/>
  <c r="E208" i="5"/>
  <c r="E207" i="5"/>
  <c r="H207" i="5" s="1"/>
  <c r="E206" i="5"/>
  <c r="H206" i="5" s="1"/>
  <c r="E205" i="5"/>
  <c r="H205" i="5" s="1"/>
  <c r="E204" i="5"/>
  <c r="H204" i="5" s="1"/>
  <c r="E203" i="5"/>
  <c r="H203" i="5" s="1"/>
  <c r="E202" i="5"/>
  <c r="H202" i="5" s="1"/>
  <c r="E201" i="5"/>
  <c r="H201" i="5" s="1"/>
  <c r="E200" i="5"/>
  <c r="H200" i="5" s="1"/>
  <c r="E199" i="5"/>
  <c r="H199" i="5" s="1"/>
  <c r="E198" i="5"/>
  <c r="H198" i="5" s="1"/>
  <c r="E197" i="5"/>
  <c r="H197" i="5" s="1"/>
  <c r="E196" i="5"/>
  <c r="H196" i="5" s="1"/>
  <c r="E195" i="5"/>
  <c r="H195" i="5" s="1"/>
  <c r="E194" i="5"/>
  <c r="H194" i="5" s="1"/>
  <c r="E193" i="5"/>
  <c r="H193" i="5" s="1"/>
  <c r="E192" i="5"/>
  <c r="H192" i="5" s="1"/>
  <c r="E191" i="5"/>
  <c r="H191" i="5" s="1"/>
  <c r="E190" i="5"/>
  <c r="H190" i="5" s="1"/>
  <c r="E189" i="5"/>
  <c r="H189" i="5" s="1"/>
  <c r="E188" i="5"/>
  <c r="H188" i="5" s="1"/>
  <c r="E175" i="5"/>
  <c r="H175" i="5" s="1"/>
  <c r="E174" i="5"/>
  <c r="H174" i="5" s="1"/>
  <c r="E173" i="5"/>
  <c r="E172" i="5"/>
  <c r="E171" i="5"/>
  <c r="E170" i="5"/>
  <c r="E169" i="5"/>
  <c r="H169" i="5" s="1"/>
  <c r="E168" i="5"/>
  <c r="H168" i="5" s="1"/>
  <c r="E167" i="5"/>
  <c r="H167" i="5" s="1"/>
  <c r="E166" i="5"/>
  <c r="H166" i="5" s="1"/>
  <c r="E165" i="5"/>
  <c r="H165" i="5" s="1"/>
  <c r="E164" i="5"/>
  <c r="H164" i="5" s="1"/>
  <c r="E163" i="5"/>
  <c r="H163" i="5" s="1"/>
  <c r="E162" i="5"/>
  <c r="H162" i="5" s="1"/>
  <c r="E161" i="5"/>
  <c r="H161" i="5" s="1"/>
  <c r="E160" i="5"/>
  <c r="H160" i="5" s="1"/>
  <c r="E159" i="5"/>
  <c r="H159" i="5" s="1"/>
  <c r="E158" i="5"/>
  <c r="H158" i="5" s="1"/>
  <c r="E157" i="5"/>
  <c r="H157" i="5" s="1"/>
  <c r="E156" i="5"/>
  <c r="H156" i="5" s="1"/>
  <c r="E155" i="5"/>
  <c r="H155" i="5" s="1"/>
  <c r="E154" i="5"/>
  <c r="H154" i="5" s="1"/>
  <c r="E153" i="5"/>
  <c r="H153" i="5" s="1"/>
  <c r="E152" i="5"/>
  <c r="H152" i="5" s="1"/>
  <c r="E211" i="4"/>
  <c r="H211" i="4" s="1"/>
  <c r="E210" i="4"/>
  <c r="H210" i="4" s="1"/>
  <c r="E209" i="4"/>
  <c r="E208" i="4"/>
  <c r="E207" i="4"/>
  <c r="H207" i="4" s="1"/>
  <c r="E206" i="4"/>
  <c r="H206" i="4" s="1"/>
  <c r="E205" i="4"/>
  <c r="H205" i="4" s="1"/>
  <c r="E204" i="4"/>
  <c r="H204" i="4" s="1"/>
  <c r="E203" i="4"/>
  <c r="H203" i="4" s="1"/>
  <c r="E202" i="4"/>
  <c r="H202" i="4" s="1"/>
  <c r="E201" i="4"/>
  <c r="H201" i="4" s="1"/>
  <c r="E200" i="4"/>
  <c r="H200" i="4" s="1"/>
  <c r="E199" i="4"/>
  <c r="H199" i="4" s="1"/>
  <c r="E198" i="4"/>
  <c r="H198" i="4" s="1"/>
  <c r="E197" i="4"/>
  <c r="H197" i="4" s="1"/>
  <c r="H196" i="4"/>
  <c r="E196" i="4"/>
  <c r="E195" i="4"/>
  <c r="H195" i="4" s="1"/>
  <c r="E194" i="4"/>
  <c r="H194" i="4" s="1"/>
  <c r="E193" i="4"/>
  <c r="H193" i="4" s="1"/>
  <c r="E192" i="4"/>
  <c r="H192" i="4" s="1"/>
  <c r="E191" i="4"/>
  <c r="H191" i="4" s="1"/>
  <c r="E190" i="4"/>
  <c r="H190" i="4" s="1"/>
  <c r="E189" i="4"/>
  <c r="H189" i="4" s="1"/>
  <c r="E188" i="4"/>
  <c r="H188" i="4" s="1"/>
  <c r="E175" i="4"/>
  <c r="H175" i="4" s="1"/>
  <c r="E174" i="4"/>
  <c r="H174" i="4" s="1"/>
  <c r="E173" i="4"/>
  <c r="E172" i="4"/>
  <c r="E171" i="4"/>
  <c r="E170" i="4"/>
  <c r="E169" i="4"/>
  <c r="H169" i="4" s="1"/>
  <c r="E168" i="4"/>
  <c r="H168" i="4" s="1"/>
  <c r="E167" i="4"/>
  <c r="H167" i="4" s="1"/>
  <c r="E166" i="4"/>
  <c r="H166" i="4" s="1"/>
  <c r="E165" i="4"/>
  <c r="H165" i="4" s="1"/>
  <c r="E164" i="4"/>
  <c r="H164" i="4" s="1"/>
  <c r="E163" i="4"/>
  <c r="H163" i="4" s="1"/>
  <c r="E162" i="4"/>
  <c r="H162" i="4" s="1"/>
  <c r="E161" i="4"/>
  <c r="H161" i="4" s="1"/>
  <c r="E160" i="4"/>
  <c r="H160" i="4" s="1"/>
  <c r="E159" i="4"/>
  <c r="H159" i="4" s="1"/>
  <c r="E158" i="4"/>
  <c r="H158" i="4" s="1"/>
  <c r="E157" i="4"/>
  <c r="H157" i="4" s="1"/>
  <c r="E156" i="4"/>
  <c r="H156" i="4" s="1"/>
  <c r="E155" i="4"/>
  <c r="H155" i="4" s="1"/>
  <c r="E154" i="4"/>
  <c r="H154" i="4" s="1"/>
  <c r="E153" i="4"/>
  <c r="H153" i="4" s="1"/>
  <c r="E152" i="4"/>
  <c r="H152" i="4" s="1"/>
  <c r="E211" i="3"/>
  <c r="H211" i="3" s="1"/>
  <c r="E210" i="3"/>
  <c r="H210" i="3" s="1"/>
  <c r="E209" i="3"/>
  <c r="E208" i="3"/>
  <c r="E207" i="3"/>
  <c r="H207" i="3" s="1"/>
  <c r="E206" i="3"/>
  <c r="H206" i="3" s="1"/>
  <c r="E205" i="3"/>
  <c r="H205" i="3" s="1"/>
  <c r="E204" i="3"/>
  <c r="H204" i="3" s="1"/>
  <c r="E203" i="3"/>
  <c r="H203" i="3" s="1"/>
  <c r="E202" i="3"/>
  <c r="H202" i="3" s="1"/>
  <c r="E201" i="3"/>
  <c r="H201" i="3" s="1"/>
  <c r="E200" i="3"/>
  <c r="H200" i="3" s="1"/>
  <c r="E199" i="3"/>
  <c r="H199" i="3" s="1"/>
  <c r="E198" i="3"/>
  <c r="H198" i="3" s="1"/>
  <c r="E197" i="3"/>
  <c r="H197" i="3" s="1"/>
  <c r="E196" i="3"/>
  <c r="H196" i="3" s="1"/>
  <c r="E195" i="3"/>
  <c r="H195" i="3" s="1"/>
  <c r="E194" i="3"/>
  <c r="H194" i="3" s="1"/>
  <c r="E193" i="3"/>
  <c r="H193" i="3" s="1"/>
  <c r="E192" i="3"/>
  <c r="H192" i="3" s="1"/>
  <c r="E191" i="3"/>
  <c r="H191" i="3" s="1"/>
  <c r="E190" i="3"/>
  <c r="H190" i="3" s="1"/>
  <c r="E189" i="3"/>
  <c r="H189" i="3" s="1"/>
  <c r="E188" i="3"/>
  <c r="H188" i="3" s="1"/>
  <c r="E175" i="3"/>
  <c r="H175" i="3" s="1"/>
  <c r="E174" i="3"/>
  <c r="H174" i="3" s="1"/>
  <c r="E173" i="3"/>
  <c r="E172" i="3"/>
  <c r="E171" i="3"/>
  <c r="E170" i="3"/>
  <c r="E169" i="3"/>
  <c r="H169" i="3" s="1"/>
  <c r="E168" i="3"/>
  <c r="H168" i="3" s="1"/>
  <c r="E167" i="3"/>
  <c r="H167" i="3" s="1"/>
  <c r="E166" i="3"/>
  <c r="H166" i="3" s="1"/>
  <c r="E165" i="3"/>
  <c r="H165" i="3" s="1"/>
  <c r="E164" i="3"/>
  <c r="H164" i="3" s="1"/>
  <c r="E163" i="3"/>
  <c r="H163" i="3" s="1"/>
  <c r="E162" i="3"/>
  <c r="H162" i="3" s="1"/>
  <c r="E161" i="3"/>
  <c r="H161" i="3" s="1"/>
  <c r="E160" i="3"/>
  <c r="H160" i="3" s="1"/>
  <c r="E159" i="3"/>
  <c r="H159" i="3" s="1"/>
  <c r="E158" i="3"/>
  <c r="H158" i="3" s="1"/>
  <c r="E157" i="3"/>
  <c r="H157" i="3" s="1"/>
  <c r="E156" i="3"/>
  <c r="H156" i="3" s="1"/>
  <c r="E155" i="3"/>
  <c r="H155" i="3" s="1"/>
  <c r="E154" i="3"/>
  <c r="H154" i="3" s="1"/>
  <c r="E153" i="3"/>
  <c r="H153" i="3" s="1"/>
  <c r="E152" i="3"/>
  <c r="H152" i="3" s="1"/>
  <c r="N139" i="5"/>
  <c r="M139" i="5"/>
  <c r="I139" i="5"/>
  <c r="H139" i="5"/>
  <c r="B139" i="5"/>
  <c r="D139" i="5" s="1"/>
  <c r="N138" i="5"/>
  <c r="M138" i="5"/>
  <c r="I138" i="5"/>
  <c r="H138" i="5"/>
  <c r="B138" i="5"/>
  <c r="D138" i="5" s="1"/>
  <c r="N137" i="5"/>
  <c r="M137" i="5"/>
  <c r="I137" i="5"/>
  <c r="H137" i="5"/>
  <c r="B137" i="5"/>
  <c r="D137" i="5" s="1"/>
  <c r="N136" i="5"/>
  <c r="M136" i="5"/>
  <c r="I136" i="5"/>
  <c r="H136" i="5"/>
  <c r="B136" i="5"/>
  <c r="D136" i="5" s="1"/>
  <c r="N135" i="5"/>
  <c r="M135" i="5"/>
  <c r="I135" i="5"/>
  <c r="H135" i="5"/>
  <c r="B135" i="5"/>
  <c r="D135" i="5" s="1"/>
  <c r="B134" i="5"/>
  <c r="D134" i="5" s="1"/>
  <c r="B133" i="5"/>
  <c r="D133" i="5" s="1"/>
  <c r="B132" i="5"/>
  <c r="D132" i="5" s="1"/>
  <c r="B131" i="5"/>
  <c r="D131" i="5" s="1"/>
  <c r="B130" i="5"/>
  <c r="D130" i="5" s="1"/>
  <c r="B129" i="5"/>
  <c r="D129" i="5" s="1"/>
  <c r="B128" i="5"/>
  <c r="D128" i="5" s="1"/>
  <c r="B127" i="5"/>
  <c r="D127" i="5" s="1"/>
  <c r="B126" i="5"/>
  <c r="B125" i="5"/>
  <c r="B124" i="5"/>
  <c r="B123" i="5"/>
  <c r="B122" i="5"/>
  <c r="B121" i="5"/>
  <c r="B120" i="5"/>
  <c r="N114" i="5"/>
  <c r="M114" i="5"/>
  <c r="I114" i="5"/>
  <c r="H114" i="5"/>
  <c r="B114" i="5"/>
  <c r="D114" i="5" s="1"/>
  <c r="N113" i="5"/>
  <c r="M113" i="5"/>
  <c r="I113" i="5"/>
  <c r="H113" i="5"/>
  <c r="B113" i="5"/>
  <c r="D113" i="5" s="1"/>
  <c r="N112" i="5"/>
  <c r="M112" i="5"/>
  <c r="I112" i="5"/>
  <c r="H112" i="5"/>
  <c r="B112" i="5"/>
  <c r="D112" i="5" s="1"/>
  <c r="N111" i="5"/>
  <c r="M111" i="5"/>
  <c r="I111" i="5"/>
  <c r="H111" i="5"/>
  <c r="B111" i="5"/>
  <c r="D111" i="5" s="1"/>
  <c r="N110" i="5"/>
  <c r="M110" i="5"/>
  <c r="I110" i="5"/>
  <c r="H110" i="5"/>
  <c r="B110" i="5"/>
  <c r="D110" i="5" s="1"/>
  <c r="B109" i="5"/>
  <c r="D109" i="5" s="1"/>
  <c r="B108" i="5"/>
  <c r="D108" i="5" s="1"/>
  <c r="B107" i="5"/>
  <c r="D107" i="5" s="1"/>
  <c r="B106" i="5"/>
  <c r="D106" i="5" s="1"/>
  <c r="B105" i="5"/>
  <c r="D105" i="5" s="1"/>
  <c r="B104" i="5"/>
  <c r="D104" i="5" s="1"/>
  <c r="B103" i="5"/>
  <c r="D103" i="5" s="1"/>
  <c r="B102" i="5"/>
  <c r="D102" i="5" s="1"/>
  <c r="B101" i="5"/>
  <c r="D101" i="5" s="1"/>
  <c r="B100" i="5"/>
  <c r="D100" i="5" s="1"/>
  <c r="B99" i="5"/>
  <c r="D99" i="5" s="1"/>
  <c r="B98" i="5"/>
  <c r="D98" i="5" s="1"/>
  <c r="B97" i="5"/>
  <c r="D97" i="5" s="1"/>
  <c r="B96" i="5"/>
  <c r="D96" i="5" s="1"/>
  <c r="B95" i="5"/>
  <c r="D95" i="5" s="1"/>
  <c r="C88" i="5"/>
  <c r="C87" i="5"/>
  <c r="C86" i="5"/>
  <c r="C85" i="5"/>
  <c r="C84" i="5"/>
  <c r="C83" i="5"/>
  <c r="C82" i="5"/>
  <c r="C81" i="5"/>
  <c r="C80" i="5"/>
  <c r="C79" i="5"/>
  <c r="C78" i="5"/>
  <c r="G77" i="5"/>
  <c r="C77" i="5"/>
  <c r="C71" i="5"/>
  <c r="C70" i="5"/>
  <c r="C69" i="5"/>
  <c r="C68" i="5"/>
  <c r="C67" i="5"/>
  <c r="C66" i="5"/>
  <c r="C65" i="5"/>
  <c r="C64" i="5"/>
  <c r="C63" i="5"/>
  <c r="C62" i="5"/>
  <c r="C61" i="5"/>
  <c r="C60" i="5"/>
  <c r="D38" i="5"/>
  <c r="D35" i="5"/>
  <c r="D36" i="5" s="1"/>
  <c r="N119" i="5" s="1"/>
  <c r="C35" i="5"/>
  <c r="C36" i="5" s="1"/>
  <c r="N94" i="5" s="1"/>
  <c r="D33" i="5"/>
  <c r="D34" i="5" s="1"/>
  <c r="M119" i="5" s="1"/>
  <c r="C33" i="5"/>
  <c r="C34" i="5" s="1"/>
  <c r="M94" i="5" s="1"/>
  <c r="D32" i="5"/>
  <c r="C32" i="5"/>
  <c r="D30" i="5"/>
  <c r="C30" i="5"/>
  <c r="D27" i="5"/>
  <c r="C27" i="5"/>
  <c r="N21" i="5"/>
  <c r="N19" i="5"/>
  <c r="N10" i="5"/>
  <c r="N9" i="5"/>
  <c r="M8" i="5"/>
  <c r="M20" i="5" s="1"/>
  <c r="L8" i="5"/>
  <c r="L20" i="5" s="1"/>
  <c r="K8" i="5"/>
  <c r="K20" i="5" s="1"/>
  <c r="J8" i="5"/>
  <c r="J20" i="5" s="1"/>
  <c r="I8" i="5"/>
  <c r="I20" i="5" s="1"/>
  <c r="H8" i="5"/>
  <c r="H20" i="5" s="1"/>
  <c r="G8" i="5"/>
  <c r="G20" i="5" s="1"/>
  <c r="F8" i="5"/>
  <c r="F20" i="5" s="1"/>
  <c r="E8" i="5"/>
  <c r="E20" i="5" s="1"/>
  <c r="D8" i="5"/>
  <c r="D20" i="5" s="1"/>
  <c r="C8" i="5"/>
  <c r="C20" i="5" s="1"/>
  <c r="B8" i="5"/>
  <c r="N7" i="5"/>
  <c r="N6" i="5"/>
  <c r="N5" i="5"/>
  <c r="N139" i="4"/>
  <c r="M139" i="4"/>
  <c r="I139" i="4"/>
  <c r="H139" i="4"/>
  <c r="B139" i="4"/>
  <c r="D139" i="4" s="1"/>
  <c r="N138" i="4"/>
  <c r="M138" i="4"/>
  <c r="I138" i="4"/>
  <c r="H138" i="4"/>
  <c r="B138" i="4"/>
  <c r="D138" i="4" s="1"/>
  <c r="N137" i="4"/>
  <c r="M137" i="4"/>
  <c r="I137" i="4"/>
  <c r="H137" i="4"/>
  <c r="B137" i="4"/>
  <c r="D137" i="4" s="1"/>
  <c r="N136" i="4"/>
  <c r="M136" i="4"/>
  <c r="I136" i="4"/>
  <c r="H136" i="4"/>
  <c r="B136" i="4"/>
  <c r="D136" i="4" s="1"/>
  <c r="N135" i="4"/>
  <c r="M135" i="4"/>
  <c r="I135" i="4"/>
  <c r="H135" i="4"/>
  <c r="B135" i="4"/>
  <c r="D135" i="4" s="1"/>
  <c r="B134" i="4"/>
  <c r="D134" i="4" s="1"/>
  <c r="B133" i="4"/>
  <c r="D133" i="4" s="1"/>
  <c r="B132" i="4"/>
  <c r="D132" i="4" s="1"/>
  <c r="B131" i="4"/>
  <c r="D131" i="4" s="1"/>
  <c r="B130" i="4"/>
  <c r="D130" i="4" s="1"/>
  <c r="B129" i="4"/>
  <c r="D129" i="4" s="1"/>
  <c r="B128" i="4"/>
  <c r="D128" i="4" s="1"/>
  <c r="B127" i="4"/>
  <c r="D127" i="4" s="1"/>
  <c r="B126" i="4"/>
  <c r="B125" i="4"/>
  <c r="B124" i="4"/>
  <c r="B123" i="4"/>
  <c r="B122" i="4"/>
  <c r="B121" i="4"/>
  <c r="B120" i="4"/>
  <c r="N114" i="4"/>
  <c r="M114" i="4"/>
  <c r="I114" i="4"/>
  <c r="H114" i="4"/>
  <c r="B114" i="4"/>
  <c r="D114" i="4" s="1"/>
  <c r="N113" i="4"/>
  <c r="M113" i="4"/>
  <c r="I113" i="4"/>
  <c r="H113" i="4"/>
  <c r="B113" i="4"/>
  <c r="D113" i="4" s="1"/>
  <c r="N112" i="4"/>
  <c r="M112" i="4"/>
  <c r="I112" i="4"/>
  <c r="H112" i="4"/>
  <c r="B112" i="4"/>
  <c r="D112" i="4" s="1"/>
  <c r="N111" i="4"/>
  <c r="M111" i="4"/>
  <c r="I111" i="4"/>
  <c r="H111" i="4"/>
  <c r="B111" i="4"/>
  <c r="D111" i="4" s="1"/>
  <c r="N110" i="4"/>
  <c r="M110" i="4"/>
  <c r="I110" i="4"/>
  <c r="H110" i="4"/>
  <c r="B110" i="4"/>
  <c r="D110" i="4" s="1"/>
  <c r="B109" i="4"/>
  <c r="D109" i="4" s="1"/>
  <c r="B108" i="4"/>
  <c r="D108" i="4" s="1"/>
  <c r="B107" i="4"/>
  <c r="D107" i="4" s="1"/>
  <c r="B106" i="4"/>
  <c r="D106" i="4" s="1"/>
  <c r="B105" i="4"/>
  <c r="D105" i="4" s="1"/>
  <c r="B104" i="4"/>
  <c r="D104" i="4" s="1"/>
  <c r="B103" i="4"/>
  <c r="D103" i="4" s="1"/>
  <c r="B102" i="4"/>
  <c r="D102" i="4" s="1"/>
  <c r="B101" i="4"/>
  <c r="D101" i="4" s="1"/>
  <c r="B100" i="4"/>
  <c r="D100" i="4" s="1"/>
  <c r="B99" i="4"/>
  <c r="D99" i="4" s="1"/>
  <c r="B98" i="4"/>
  <c r="D98" i="4" s="1"/>
  <c r="B97" i="4"/>
  <c r="D97" i="4" s="1"/>
  <c r="B96" i="4"/>
  <c r="D96" i="4" s="1"/>
  <c r="B95" i="4"/>
  <c r="D95" i="4" s="1"/>
  <c r="C88" i="4"/>
  <c r="C87" i="4"/>
  <c r="C86" i="4"/>
  <c r="C85" i="4"/>
  <c r="H85" i="4" s="1"/>
  <c r="C84" i="4"/>
  <c r="C83" i="4"/>
  <c r="C82" i="4"/>
  <c r="C81" i="4"/>
  <c r="C80" i="4"/>
  <c r="C79" i="4"/>
  <c r="C78" i="4"/>
  <c r="C77" i="4"/>
  <c r="C71" i="4"/>
  <c r="C70" i="4"/>
  <c r="C69" i="4"/>
  <c r="C68" i="4"/>
  <c r="C67" i="4"/>
  <c r="C66" i="4"/>
  <c r="C65" i="4"/>
  <c r="C64" i="4"/>
  <c r="C63" i="4"/>
  <c r="C62" i="4"/>
  <c r="C61" i="4"/>
  <c r="C60" i="4"/>
  <c r="D38" i="4"/>
  <c r="D35" i="4"/>
  <c r="D36" i="4" s="1"/>
  <c r="N119" i="4" s="1"/>
  <c r="C35" i="4"/>
  <c r="C36" i="4" s="1"/>
  <c r="N94" i="4" s="1"/>
  <c r="D33" i="4"/>
  <c r="D34" i="4" s="1"/>
  <c r="M119" i="4" s="1"/>
  <c r="C33" i="4"/>
  <c r="C34" i="4" s="1"/>
  <c r="M94" i="4" s="1"/>
  <c r="D32" i="4"/>
  <c r="C32" i="4"/>
  <c r="D30" i="4"/>
  <c r="C30" i="4"/>
  <c r="D27" i="4"/>
  <c r="C27" i="4"/>
  <c r="N21" i="4"/>
  <c r="N19" i="4"/>
  <c r="N10" i="4"/>
  <c r="N9" i="4"/>
  <c r="M8" i="4"/>
  <c r="M20" i="4" s="1"/>
  <c r="L8" i="4"/>
  <c r="L20" i="4" s="1"/>
  <c r="K8" i="4"/>
  <c r="K20" i="4" s="1"/>
  <c r="J8" i="4"/>
  <c r="J20" i="4" s="1"/>
  <c r="I8" i="4"/>
  <c r="I20" i="4" s="1"/>
  <c r="H8" i="4"/>
  <c r="H20" i="4" s="1"/>
  <c r="G8" i="4"/>
  <c r="G20" i="4" s="1"/>
  <c r="F8" i="4"/>
  <c r="F20" i="4" s="1"/>
  <c r="E8" i="4"/>
  <c r="E20" i="4" s="1"/>
  <c r="D8" i="4"/>
  <c r="D20" i="4" s="1"/>
  <c r="C8" i="4"/>
  <c r="C20" i="4" s="1"/>
  <c r="B8" i="4"/>
  <c r="N7" i="4"/>
  <c r="N6" i="4"/>
  <c r="N5" i="4"/>
  <c r="N139" i="3"/>
  <c r="M139" i="3"/>
  <c r="I139" i="3"/>
  <c r="H139" i="3"/>
  <c r="B139" i="3"/>
  <c r="D139" i="3" s="1"/>
  <c r="N138" i="3"/>
  <c r="M138" i="3"/>
  <c r="I138" i="3"/>
  <c r="H138" i="3"/>
  <c r="B138" i="3"/>
  <c r="D138" i="3" s="1"/>
  <c r="N137" i="3"/>
  <c r="M137" i="3"/>
  <c r="I137" i="3"/>
  <c r="H137" i="3"/>
  <c r="B137" i="3"/>
  <c r="D137" i="3" s="1"/>
  <c r="N136" i="3"/>
  <c r="M136" i="3"/>
  <c r="I136" i="3"/>
  <c r="H136" i="3"/>
  <c r="B136" i="3"/>
  <c r="D136" i="3" s="1"/>
  <c r="N135" i="3"/>
  <c r="M135" i="3"/>
  <c r="I135" i="3"/>
  <c r="H135" i="3"/>
  <c r="B135" i="3"/>
  <c r="D135" i="3" s="1"/>
  <c r="B134" i="3"/>
  <c r="D134" i="3" s="1"/>
  <c r="B133" i="3"/>
  <c r="D133" i="3" s="1"/>
  <c r="B132" i="3"/>
  <c r="D132" i="3" s="1"/>
  <c r="B131" i="3"/>
  <c r="D131" i="3" s="1"/>
  <c r="B130" i="3"/>
  <c r="D130" i="3" s="1"/>
  <c r="B129" i="3"/>
  <c r="D129" i="3" s="1"/>
  <c r="B128" i="3"/>
  <c r="D128" i="3" s="1"/>
  <c r="B127" i="3"/>
  <c r="D127" i="3" s="1"/>
  <c r="B126" i="3"/>
  <c r="B125" i="3"/>
  <c r="B124" i="3"/>
  <c r="B123" i="3"/>
  <c r="B122" i="3"/>
  <c r="B121" i="3"/>
  <c r="B120" i="3"/>
  <c r="N114" i="3"/>
  <c r="M114" i="3"/>
  <c r="I114" i="3"/>
  <c r="H114" i="3"/>
  <c r="B114" i="3"/>
  <c r="D114" i="3" s="1"/>
  <c r="N113" i="3"/>
  <c r="M113" i="3"/>
  <c r="I113" i="3"/>
  <c r="H113" i="3"/>
  <c r="B113" i="3"/>
  <c r="D113" i="3" s="1"/>
  <c r="N112" i="3"/>
  <c r="M112" i="3"/>
  <c r="I112" i="3"/>
  <c r="H112" i="3"/>
  <c r="B112" i="3"/>
  <c r="D112" i="3" s="1"/>
  <c r="N111" i="3"/>
  <c r="M111" i="3"/>
  <c r="I111" i="3"/>
  <c r="H111" i="3"/>
  <c r="B111" i="3"/>
  <c r="D111" i="3" s="1"/>
  <c r="N110" i="3"/>
  <c r="M110" i="3"/>
  <c r="I110" i="3"/>
  <c r="H110" i="3"/>
  <c r="B110" i="3"/>
  <c r="D110" i="3" s="1"/>
  <c r="B109" i="3"/>
  <c r="D109" i="3" s="1"/>
  <c r="B108" i="3"/>
  <c r="D108" i="3" s="1"/>
  <c r="B107" i="3"/>
  <c r="D107" i="3" s="1"/>
  <c r="B106" i="3"/>
  <c r="D106" i="3" s="1"/>
  <c r="B105" i="3"/>
  <c r="D105" i="3" s="1"/>
  <c r="B104" i="3"/>
  <c r="D104" i="3" s="1"/>
  <c r="B103" i="3"/>
  <c r="D103" i="3" s="1"/>
  <c r="B102" i="3"/>
  <c r="D102" i="3" s="1"/>
  <c r="B101" i="3"/>
  <c r="D101" i="3" s="1"/>
  <c r="B100" i="3"/>
  <c r="D100" i="3" s="1"/>
  <c r="B99" i="3"/>
  <c r="D99" i="3" s="1"/>
  <c r="B98" i="3"/>
  <c r="D98" i="3" s="1"/>
  <c r="B97" i="3"/>
  <c r="D97" i="3" s="1"/>
  <c r="B96" i="3"/>
  <c r="D96" i="3" s="1"/>
  <c r="B95" i="3"/>
  <c r="D95" i="3" s="1"/>
  <c r="C88" i="3"/>
  <c r="C87" i="3"/>
  <c r="C86" i="3"/>
  <c r="C85" i="3"/>
  <c r="C84" i="3"/>
  <c r="C83" i="3"/>
  <c r="C82" i="3"/>
  <c r="C81" i="3"/>
  <c r="C80" i="3"/>
  <c r="C79" i="3"/>
  <c r="C78" i="3"/>
  <c r="C77" i="3"/>
  <c r="C71" i="3"/>
  <c r="C70" i="3"/>
  <c r="C69" i="3"/>
  <c r="C68" i="3"/>
  <c r="C67" i="3"/>
  <c r="C66" i="3"/>
  <c r="C65" i="3"/>
  <c r="C64" i="3"/>
  <c r="C63" i="3"/>
  <c r="C62" i="3"/>
  <c r="C61" i="3"/>
  <c r="C60" i="3"/>
  <c r="D38" i="3"/>
  <c r="D35" i="3"/>
  <c r="D36" i="3" s="1"/>
  <c r="N119" i="3" s="1"/>
  <c r="C35" i="3"/>
  <c r="C36" i="3" s="1"/>
  <c r="N94" i="3" s="1"/>
  <c r="D33" i="3"/>
  <c r="D34" i="3" s="1"/>
  <c r="M119" i="3" s="1"/>
  <c r="C33" i="3"/>
  <c r="C34" i="3" s="1"/>
  <c r="M94" i="3" s="1"/>
  <c r="D32" i="3"/>
  <c r="C32" i="3"/>
  <c r="D30" i="3"/>
  <c r="C30" i="3"/>
  <c r="D27" i="3"/>
  <c r="C27" i="3"/>
  <c r="N21" i="3"/>
  <c r="N19" i="3"/>
  <c r="B147" i="3" s="1"/>
  <c r="N10" i="3"/>
  <c r="N9" i="3"/>
  <c r="M8" i="3"/>
  <c r="M20" i="3" s="1"/>
  <c r="L8" i="3"/>
  <c r="L20" i="3" s="1"/>
  <c r="K8" i="3"/>
  <c r="K20" i="3" s="1"/>
  <c r="J8" i="3"/>
  <c r="J20" i="3" s="1"/>
  <c r="I8" i="3"/>
  <c r="I20" i="3" s="1"/>
  <c r="H8" i="3"/>
  <c r="H20" i="3" s="1"/>
  <c r="G8" i="3"/>
  <c r="G20" i="3" s="1"/>
  <c r="F8" i="3"/>
  <c r="F20" i="3" s="1"/>
  <c r="E8" i="3"/>
  <c r="E20" i="3" s="1"/>
  <c r="D8" i="3"/>
  <c r="D20" i="3" s="1"/>
  <c r="C8" i="3"/>
  <c r="C20" i="3" s="1"/>
  <c r="B8" i="3"/>
  <c r="N7" i="3"/>
  <c r="N6" i="3"/>
  <c r="N5" i="3"/>
  <c r="O9" i="1"/>
  <c r="H9" i="1"/>
  <c r="G9" i="1"/>
  <c r="E9" i="1"/>
  <c r="D9" i="1"/>
  <c r="C9" i="1"/>
  <c r="O8" i="1"/>
  <c r="H8" i="1"/>
  <c r="G8" i="1"/>
  <c r="E8" i="1"/>
  <c r="D8" i="1"/>
  <c r="C8" i="1"/>
  <c r="O7" i="1"/>
  <c r="H7" i="1"/>
  <c r="E7" i="1"/>
  <c r="D7" i="1"/>
  <c r="C7" i="1"/>
  <c r="O6" i="1"/>
  <c r="H6" i="1"/>
  <c r="E6" i="1"/>
  <c r="D6" i="1"/>
  <c r="C6" i="1"/>
  <c r="O5" i="1"/>
  <c r="H5" i="1"/>
  <c r="H12" i="1" s="1"/>
  <c r="G5" i="1"/>
  <c r="E5" i="1"/>
  <c r="E12" i="1" s="1"/>
  <c r="D5" i="1"/>
  <c r="D12" i="1" s="1"/>
  <c r="C5" i="1"/>
  <c r="C12" i="1" s="1"/>
  <c r="O4" i="1"/>
  <c r="H4" i="1"/>
  <c r="H11" i="1" s="1"/>
  <c r="G4" i="1"/>
  <c r="E4" i="1"/>
  <c r="E11" i="1" s="1"/>
  <c r="D4" i="1"/>
  <c r="D11" i="1" s="1"/>
  <c r="C4" i="1"/>
  <c r="C11" i="1" s="1"/>
  <c r="D125" i="5" l="1"/>
  <c r="D126" i="3"/>
  <c r="D124" i="3"/>
  <c r="D122" i="3"/>
  <c r="D120" i="3"/>
  <c r="D126" i="5"/>
  <c r="D124" i="5"/>
  <c r="D125" i="3"/>
  <c r="D123" i="3"/>
  <c r="D121" i="3"/>
  <c r="E216" i="5"/>
  <c r="G209" i="5" s="1"/>
  <c r="H209" i="5" s="1"/>
  <c r="E214" i="5"/>
  <c r="G208" i="5"/>
  <c r="H208" i="5" s="1"/>
  <c r="E217" i="5" s="1"/>
  <c r="E178" i="5"/>
  <c r="E180" i="5"/>
  <c r="G170" i="5" s="1"/>
  <c r="H170" i="5" s="1"/>
  <c r="E214" i="4"/>
  <c r="E216" i="4"/>
  <c r="E180" i="4"/>
  <c r="E178" i="4"/>
  <c r="E216" i="3"/>
  <c r="E214" i="3"/>
  <c r="E180" i="3"/>
  <c r="E178" i="3"/>
  <c r="E179" i="5"/>
  <c r="E215" i="5"/>
  <c r="E215" i="4"/>
  <c r="E179" i="4"/>
  <c r="E215" i="3"/>
  <c r="E179" i="3"/>
  <c r="G208" i="4"/>
  <c r="H208" i="4" s="1"/>
  <c r="E217" i="4" s="1"/>
  <c r="E218" i="4" s="1"/>
  <c r="G209" i="4"/>
  <c r="H209" i="4" s="1"/>
  <c r="G172" i="4"/>
  <c r="H172" i="4" s="1"/>
  <c r="G171" i="4"/>
  <c r="H171" i="4" s="1"/>
  <c r="G170" i="4"/>
  <c r="H170" i="4" s="1"/>
  <c r="E181" i="4" s="1"/>
  <c r="E182" i="4" s="1"/>
  <c r="E183" i="4" s="1"/>
  <c r="G173" i="4"/>
  <c r="H173" i="4" s="1"/>
  <c r="G209" i="3"/>
  <c r="H209" i="3" s="1"/>
  <c r="G208" i="3"/>
  <c r="H208" i="3" s="1"/>
  <c r="E217" i="3" s="1"/>
  <c r="E218" i="3" s="1"/>
  <c r="G172" i="3"/>
  <c r="H172" i="3" s="1"/>
  <c r="G171" i="3"/>
  <c r="H171" i="3" s="1"/>
  <c r="G170" i="3"/>
  <c r="H170" i="3" s="1"/>
  <c r="E181" i="3" s="1"/>
  <c r="E182" i="3" s="1"/>
  <c r="E183" i="3" s="1"/>
  <c r="G173" i="3"/>
  <c r="H173" i="3" s="1"/>
  <c r="D126" i="4"/>
  <c r="D121" i="4"/>
  <c r="D123" i="5"/>
  <c r="D122" i="5"/>
  <c r="D121" i="5"/>
  <c r="D120" i="5"/>
  <c r="D125" i="4"/>
  <c r="D124" i="4"/>
  <c r="D123" i="4"/>
  <c r="D122" i="4"/>
  <c r="D120" i="4"/>
  <c r="I66" i="3"/>
  <c r="H66" i="3"/>
  <c r="G66" i="3"/>
  <c r="H88" i="5"/>
  <c r="I88" i="5"/>
  <c r="G88" i="5"/>
  <c r="H87" i="5"/>
  <c r="I87" i="5"/>
  <c r="G87" i="5"/>
  <c r="G86" i="5"/>
  <c r="H86" i="5"/>
  <c r="I86" i="5"/>
  <c r="H85" i="5"/>
  <c r="G85" i="5"/>
  <c r="I85" i="5"/>
  <c r="G84" i="5"/>
  <c r="I84" i="5"/>
  <c r="H84" i="5"/>
  <c r="I83" i="5"/>
  <c r="G83" i="5"/>
  <c r="H83" i="5"/>
  <c r="I82" i="5"/>
  <c r="G82" i="5"/>
  <c r="H82" i="5"/>
  <c r="I81" i="5"/>
  <c r="G81" i="5"/>
  <c r="H81" i="5"/>
  <c r="I80" i="5"/>
  <c r="G80" i="5"/>
  <c r="H80" i="5"/>
  <c r="I79" i="5"/>
  <c r="H79" i="5"/>
  <c r="G79" i="5"/>
  <c r="G78" i="5"/>
  <c r="H78" i="5"/>
  <c r="I78" i="5"/>
  <c r="G89" i="5"/>
  <c r="C89" i="5"/>
  <c r="D41" i="5" s="1"/>
  <c r="F9" i="1" s="1"/>
  <c r="H77" i="5"/>
  <c r="I77" i="5"/>
  <c r="I89" i="5" s="1"/>
  <c r="H71" i="5"/>
  <c r="I71" i="5"/>
  <c r="G71" i="5"/>
  <c r="H70" i="5"/>
  <c r="G70" i="5"/>
  <c r="I70" i="5"/>
  <c r="G69" i="5"/>
  <c r="I69" i="5"/>
  <c r="H69" i="5"/>
  <c r="G68" i="5"/>
  <c r="I68" i="5"/>
  <c r="H68" i="5"/>
  <c r="H67" i="5"/>
  <c r="G67" i="5"/>
  <c r="I67" i="5"/>
  <c r="I66" i="5"/>
  <c r="H66" i="5"/>
  <c r="G66" i="5"/>
  <c r="H65" i="5"/>
  <c r="I65" i="5"/>
  <c r="G65" i="5"/>
  <c r="I64" i="5"/>
  <c r="H64" i="5"/>
  <c r="G64" i="5"/>
  <c r="G63" i="5"/>
  <c r="I63" i="5"/>
  <c r="H63" i="5"/>
  <c r="H62" i="5"/>
  <c r="I62" i="5"/>
  <c r="G62" i="5"/>
  <c r="G61" i="5"/>
  <c r="I61" i="5"/>
  <c r="H61" i="5"/>
  <c r="H60" i="5"/>
  <c r="H72" i="5" s="1"/>
  <c r="G60" i="5"/>
  <c r="C72" i="5"/>
  <c r="C41" i="5" s="1"/>
  <c r="F8" i="1" s="1"/>
  <c r="I60" i="5"/>
  <c r="I72" i="5" s="1"/>
  <c r="P119" i="5"/>
  <c r="P94" i="5"/>
  <c r="O119" i="5"/>
  <c r="O94" i="5"/>
  <c r="Q82" i="5"/>
  <c r="S82" i="5" s="1"/>
  <c r="T82" i="5" s="1"/>
  <c r="N82" i="5"/>
  <c r="Q81" i="5"/>
  <c r="S81" i="5" s="1"/>
  <c r="T81" i="5" s="1"/>
  <c r="N81" i="5"/>
  <c r="Q80" i="5"/>
  <c r="S80" i="5" s="1"/>
  <c r="T80" i="5" s="1"/>
  <c r="Q79" i="5"/>
  <c r="S79" i="5" s="1"/>
  <c r="T79" i="5" s="1"/>
  <c r="N79" i="5"/>
  <c r="N78" i="5"/>
  <c r="Q77" i="5"/>
  <c r="S77" i="5" s="1"/>
  <c r="N77" i="5"/>
  <c r="Q86" i="5"/>
  <c r="S86" i="5" s="1"/>
  <c r="T86" i="5" s="1"/>
  <c r="Q83" i="5"/>
  <c r="S83" i="5" s="1"/>
  <c r="T83" i="5" s="1"/>
  <c r="N80" i="5"/>
  <c r="Q78" i="5"/>
  <c r="S78" i="5" s="1"/>
  <c r="T78" i="5" s="1"/>
  <c r="Q88" i="5"/>
  <c r="S88" i="5" s="1"/>
  <c r="T88" i="5" s="1"/>
  <c r="N86" i="5"/>
  <c r="N88" i="5"/>
  <c r="Q87" i="5"/>
  <c r="S87" i="5" s="1"/>
  <c r="T87" i="5" s="1"/>
  <c r="N87" i="5"/>
  <c r="Q85" i="5"/>
  <c r="S85" i="5" s="1"/>
  <c r="T85" i="5" s="1"/>
  <c r="N85" i="5"/>
  <c r="Q84" i="5"/>
  <c r="S84" i="5" s="1"/>
  <c r="T84" i="5" s="1"/>
  <c r="N84" i="5"/>
  <c r="N83" i="5"/>
  <c r="N62" i="5"/>
  <c r="Q66" i="5"/>
  <c r="S66" i="5" s="1"/>
  <c r="T66" i="5" s="1"/>
  <c r="N66" i="5"/>
  <c r="Q65" i="5"/>
  <c r="S65" i="5" s="1"/>
  <c r="T65" i="5" s="1"/>
  <c r="N65" i="5"/>
  <c r="Q71" i="5"/>
  <c r="S71" i="5" s="1"/>
  <c r="T71" i="5" s="1"/>
  <c r="N71" i="5"/>
  <c r="Q64" i="5"/>
  <c r="S64" i="5" s="1"/>
  <c r="T64" i="5" s="1"/>
  <c r="N64" i="5"/>
  <c r="Q69" i="5"/>
  <c r="S69" i="5" s="1"/>
  <c r="T69" i="5" s="1"/>
  <c r="N63" i="5"/>
  <c r="Q70" i="5"/>
  <c r="S70" i="5" s="1"/>
  <c r="T70" i="5" s="1"/>
  <c r="N70" i="5"/>
  <c r="Q62" i="5"/>
  <c r="S62" i="5" s="1"/>
  <c r="T62" i="5" s="1"/>
  <c r="Q60" i="5"/>
  <c r="S60" i="5" s="1"/>
  <c r="N60" i="5"/>
  <c r="Q63" i="5"/>
  <c r="S63" i="5" s="1"/>
  <c r="T63" i="5" s="1"/>
  <c r="N69" i="5"/>
  <c r="Q68" i="5"/>
  <c r="S68" i="5" s="1"/>
  <c r="T68" i="5" s="1"/>
  <c r="N68" i="5"/>
  <c r="N61" i="5"/>
  <c r="Q61" i="5"/>
  <c r="S61" i="5" s="1"/>
  <c r="T61" i="5" s="1"/>
  <c r="Q67" i="5"/>
  <c r="S67" i="5" s="1"/>
  <c r="T67" i="5" s="1"/>
  <c r="N67" i="5"/>
  <c r="B147" i="5"/>
  <c r="D39" i="5"/>
  <c r="C39" i="5"/>
  <c r="B20" i="5"/>
  <c r="N8" i="5"/>
  <c r="I88" i="4"/>
  <c r="G88" i="4"/>
  <c r="H88" i="4"/>
  <c r="H87" i="4"/>
  <c r="G87" i="4"/>
  <c r="I87" i="4"/>
  <c r="H86" i="4"/>
  <c r="I86" i="4"/>
  <c r="G86" i="4"/>
  <c r="I85" i="4"/>
  <c r="G85" i="4"/>
  <c r="H84" i="4"/>
  <c r="G84" i="4"/>
  <c r="I84" i="4"/>
  <c r="I83" i="4"/>
  <c r="G83" i="4"/>
  <c r="H83" i="4"/>
  <c r="G82" i="4"/>
  <c r="H82" i="4"/>
  <c r="I82" i="4"/>
  <c r="H81" i="4"/>
  <c r="I81" i="4"/>
  <c r="G81" i="4"/>
  <c r="I80" i="4"/>
  <c r="G80" i="4"/>
  <c r="H80" i="4"/>
  <c r="H79" i="4"/>
  <c r="G79" i="4"/>
  <c r="I79" i="4"/>
  <c r="H78" i="4"/>
  <c r="G78" i="4"/>
  <c r="I78" i="4"/>
  <c r="H77" i="4"/>
  <c r="H89" i="4" s="1"/>
  <c r="G77" i="4"/>
  <c r="C89" i="4"/>
  <c r="D41" i="4" s="1"/>
  <c r="F7" i="1" s="1"/>
  <c r="I77" i="4"/>
  <c r="I89" i="4" s="1"/>
  <c r="H71" i="4"/>
  <c r="I71" i="4"/>
  <c r="G71" i="4"/>
  <c r="H70" i="4"/>
  <c r="I70" i="4"/>
  <c r="G70" i="4"/>
  <c r="G69" i="4"/>
  <c r="I69" i="4"/>
  <c r="H69" i="4"/>
  <c r="H68" i="4"/>
  <c r="I68" i="4"/>
  <c r="G68" i="4"/>
  <c r="H67" i="4"/>
  <c r="G67" i="4"/>
  <c r="I67" i="4"/>
  <c r="I66" i="4"/>
  <c r="H66" i="4"/>
  <c r="G66" i="4"/>
  <c r="H65" i="4"/>
  <c r="G65" i="4"/>
  <c r="I65" i="4"/>
  <c r="H64" i="4"/>
  <c r="I64" i="4"/>
  <c r="G64" i="4"/>
  <c r="H63" i="4"/>
  <c r="G63" i="4"/>
  <c r="I63" i="4"/>
  <c r="H62" i="4"/>
  <c r="G62" i="4"/>
  <c r="I62" i="4"/>
  <c r="I61" i="4"/>
  <c r="H61" i="4"/>
  <c r="G61" i="4"/>
  <c r="I60" i="4"/>
  <c r="I72" i="4" s="1"/>
  <c r="C72" i="4"/>
  <c r="C41" i="4" s="1"/>
  <c r="F6" i="1" s="1"/>
  <c r="G60" i="4"/>
  <c r="H60" i="4"/>
  <c r="H72" i="4" s="1"/>
  <c r="P119" i="4"/>
  <c r="P94" i="4"/>
  <c r="O119" i="4"/>
  <c r="O94" i="4"/>
  <c r="N82" i="4"/>
  <c r="Q81" i="4"/>
  <c r="S81" i="4" s="1"/>
  <c r="T81" i="4" s="1"/>
  <c r="Q86" i="4"/>
  <c r="S86" i="4" s="1"/>
  <c r="T86" i="4" s="1"/>
  <c r="N83" i="4"/>
  <c r="Q82" i="4"/>
  <c r="S82" i="4" s="1"/>
  <c r="T82" i="4" s="1"/>
  <c r="N80" i="4"/>
  <c r="N79" i="4"/>
  <c r="Q79" i="4"/>
  <c r="S79" i="4" s="1"/>
  <c r="T79" i="4" s="1"/>
  <c r="N81" i="4"/>
  <c r="N78" i="4"/>
  <c r="N84" i="4"/>
  <c r="N77" i="4"/>
  <c r="Q87" i="4"/>
  <c r="S87" i="4" s="1"/>
  <c r="T87" i="4" s="1"/>
  <c r="Q80" i="4"/>
  <c r="S80" i="4" s="1"/>
  <c r="T80" i="4" s="1"/>
  <c r="Q88" i="4"/>
  <c r="S88" i="4" s="1"/>
  <c r="T88" i="4" s="1"/>
  <c r="Q78" i="4"/>
  <c r="S78" i="4" s="1"/>
  <c r="T78" i="4" s="1"/>
  <c r="N88" i="4"/>
  <c r="Q77" i="4"/>
  <c r="S77" i="4" s="1"/>
  <c r="Q84" i="4"/>
  <c r="S84" i="4" s="1"/>
  <c r="T84" i="4" s="1"/>
  <c r="N86" i="4"/>
  <c r="N87" i="4"/>
  <c r="Q85" i="4"/>
  <c r="S85" i="4" s="1"/>
  <c r="T85" i="4" s="1"/>
  <c r="N85" i="4"/>
  <c r="Q83" i="4"/>
  <c r="S83" i="4" s="1"/>
  <c r="T83" i="4" s="1"/>
  <c r="Q67" i="4"/>
  <c r="S67" i="4" s="1"/>
  <c r="T67" i="4" s="1"/>
  <c r="N69" i="4"/>
  <c r="N70" i="4"/>
  <c r="Q69" i="4"/>
  <c r="S69" i="4" s="1"/>
  <c r="T69" i="4" s="1"/>
  <c r="Q65" i="4"/>
  <c r="S65" i="4" s="1"/>
  <c r="T65" i="4" s="1"/>
  <c r="N67" i="4"/>
  <c r="Q68" i="4"/>
  <c r="S68" i="4" s="1"/>
  <c r="T68" i="4" s="1"/>
  <c r="N71" i="4"/>
  <c r="Q71" i="4"/>
  <c r="S71" i="4" s="1"/>
  <c r="T71" i="4" s="1"/>
  <c r="Q70" i="4"/>
  <c r="S70" i="4" s="1"/>
  <c r="T70" i="4" s="1"/>
  <c r="N62" i="4"/>
  <c r="Q63" i="4"/>
  <c r="S63" i="4" s="1"/>
  <c r="T63" i="4" s="1"/>
  <c r="N68" i="4"/>
  <c r="N65" i="4"/>
  <c r="N66" i="4"/>
  <c r="N61" i="4"/>
  <c r="N60" i="4"/>
  <c r="Q62" i="4"/>
  <c r="S62" i="4" s="1"/>
  <c r="T62" i="4" s="1"/>
  <c r="Q60" i="4"/>
  <c r="S60" i="4" s="1"/>
  <c r="Q66" i="4"/>
  <c r="S66" i="4" s="1"/>
  <c r="T66" i="4" s="1"/>
  <c r="N63" i="4"/>
  <c r="Q61" i="4"/>
  <c r="S61" i="4" s="1"/>
  <c r="T61" i="4" s="1"/>
  <c r="N64" i="4"/>
  <c r="Q64" i="4"/>
  <c r="S64" i="4" s="1"/>
  <c r="T64" i="4" s="1"/>
  <c r="C39" i="4"/>
  <c r="D39" i="4"/>
  <c r="G7" i="1"/>
  <c r="G12" i="1" s="1"/>
  <c r="B147" i="4"/>
  <c r="G6" i="1"/>
  <c r="G11" i="1" s="1"/>
  <c r="B20" i="4"/>
  <c r="N8" i="4"/>
  <c r="G88" i="3"/>
  <c r="I88" i="3"/>
  <c r="H88" i="3"/>
  <c r="I87" i="3"/>
  <c r="H87" i="3"/>
  <c r="G87" i="3"/>
  <c r="I86" i="3"/>
  <c r="H86" i="3"/>
  <c r="G86" i="3"/>
  <c r="G85" i="3"/>
  <c r="I85" i="3"/>
  <c r="H85" i="3"/>
  <c r="I84" i="3"/>
  <c r="H84" i="3"/>
  <c r="G84" i="3"/>
  <c r="I83" i="3"/>
  <c r="G83" i="3"/>
  <c r="H83" i="3"/>
  <c r="G82" i="3"/>
  <c r="H82" i="3"/>
  <c r="I82" i="3"/>
  <c r="H81" i="3"/>
  <c r="G81" i="3"/>
  <c r="I81" i="3"/>
  <c r="G80" i="3"/>
  <c r="H80" i="3"/>
  <c r="I80" i="3"/>
  <c r="G79" i="3"/>
  <c r="I79" i="3"/>
  <c r="H79" i="3"/>
  <c r="I78" i="3"/>
  <c r="G78" i="3"/>
  <c r="H78" i="3"/>
  <c r="G77" i="3"/>
  <c r="I77" i="3"/>
  <c r="C89" i="3"/>
  <c r="D41" i="3" s="1"/>
  <c r="F5" i="1" s="1"/>
  <c r="H77" i="3"/>
  <c r="H71" i="3"/>
  <c r="G71" i="3"/>
  <c r="I71" i="3"/>
  <c r="H70" i="3"/>
  <c r="G70" i="3"/>
  <c r="I70" i="3"/>
  <c r="I69" i="3"/>
  <c r="H69" i="3"/>
  <c r="G69" i="3"/>
  <c r="H68" i="3"/>
  <c r="I68" i="3"/>
  <c r="G68" i="3"/>
  <c r="G67" i="3"/>
  <c r="I67" i="3"/>
  <c r="C72" i="3"/>
  <c r="C41" i="3" s="1"/>
  <c r="F4" i="1" s="1"/>
  <c r="H67" i="3"/>
  <c r="H65" i="3"/>
  <c r="I65" i="3"/>
  <c r="G65" i="3"/>
  <c r="I64" i="3"/>
  <c r="H64" i="3"/>
  <c r="G64" i="3"/>
  <c r="H63" i="3"/>
  <c r="G63" i="3"/>
  <c r="I63" i="3"/>
  <c r="I62" i="3"/>
  <c r="H62" i="3"/>
  <c r="G62" i="3"/>
  <c r="I61" i="3"/>
  <c r="G61" i="3"/>
  <c r="H61" i="3"/>
  <c r="I60" i="3"/>
  <c r="H60" i="3"/>
  <c r="G60" i="3"/>
  <c r="P119" i="3"/>
  <c r="P94" i="3"/>
  <c r="O119" i="3"/>
  <c r="O94" i="3"/>
  <c r="Q79" i="3"/>
  <c r="S79" i="3" s="1"/>
  <c r="T79" i="3" s="1"/>
  <c r="N79" i="3"/>
  <c r="Q78" i="3"/>
  <c r="S78" i="3" s="1"/>
  <c r="T78" i="3" s="1"/>
  <c r="N78" i="3"/>
  <c r="Q77" i="3"/>
  <c r="S77" i="3" s="1"/>
  <c r="N77" i="3"/>
  <c r="N84" i="3"/>
  <c r="Q88" i="3"/>
  <c r="S88" i="3" s="1"/>
  <c r="T88" i="3" s="1"/>
  <c r="N88" i="3"/>
  <c r="Q87" i="3"/>
  <c r="S87" i="3" s="1"/>
  <c r="T87" i="3" s="1"/>
  <c r="N87" i="3"/>
  <c r="Q86" i="3"/>
  <c r="S86" i="3" s="1"/>
  <c r="T86" i="3" s="1"/>
  <c r="N86" i="3"/>
  <c r="Q85" i="3"/>
  <c r="S85" i="3" s="1"/>
  <c r="T85" i="3" s="1"/>
  <c r="N85" i="3"/>
  <c r="Q84" i="3"/>
  <c r="S84" i="3" s="1"/>
  <c r="T84" i="3" s="1"/>
  <c r="Q83" i="3"/>
  <c r="S83" i="3" s="1"/>
  <c r="T83" i="3" s="1"/>
  <c r="N83" i="3"/>
  <c r="Q82" i="3"/>
  <c r="S82" i="3" s="1"/>
  <c r="T82" i="3" s="1"/>
  <c r="N82" i="3"/>
  <c r="Q81" i="3"/>
  <c r="S81" i="3" s="1"/>
  <c r="T81" i="3" s="1"/>
  <c r="N81" i="3"/>
  <c r="Q80" i="3"/>
  <c r="S80" i="3" s="1"/>
  <c r="T80" i="3" s="1"/>
  <c r="N80" i="3"/>
  <c r="Q70" i="3"/>
  <c r="S70" i="3" s="1"/>
  <c r="T70" i="3" s="1"/>
  <c r="N60" i="3"/>
  <c r="Q60" i="3"/>
  <c r="S60" i="3" s="1"/>
  <c r="Q66" i="3"/>
  <c r="S66" i="3" s="1"/>
  <c r="T66" i="3" s="1"/>
  <c r="Q69" i="3"/>
  <c r="S69" i="3" s="1"/>
  <c r="T69" i="3" s="1"/>
  <c r="N70" i="3"/>
  <c r="N65" i="3"/>
  <c r="N68" i="3"/>
  <c r="N67" i="3"/>
  <c r="Q67" i="3"/>
  <c r="S67" i="3" s="1"/>
  <c r="T67" i="3" s="1"/>
  <c r="Q65" i="3"/>
  <c r="S65" i="3" s="1"/>
  <c r="T65" i="3" s="1"/>
  <c r="N61" i="3"/>
  <c r="Q61" i="3"/>
  <c r="S61" i="3" s="1"/>
  <c r="T61" i="3" s="1"/>
  <c r="Q68" i="3"/>
  <c r="S68" i="3" s="1"/>
  <c r="T68" i="3" s="1"/>
  <c r="N62" i="3"/>
  <c r="Q64" i="3"/>
  <c r="S64" i="3" s="1"/>
  <c r="T64" i="3" s="1"/>
  <c r="N64" i="3"/>
  <c r="Q71" i="3"/>
  <c r="S71" i="3" s="1"/>
  <c r="T71" i="3" s="1"/>
  <c r="Q62" i="3"/>
  <c r="S62" i="3" s="1"/>
  <c r="T62" i="3" s="1"/>
  <c r="N71" i="3"/>
  <c r="Q63" i="3"/>
  <c r="S63" i="3" s="1"/>
  <c r="T63" i="3" s="1"/>
  <c r="N63" i="3"/>
  <c r="N66" i="3"/>
  <c r="N69" i="3"/>
  <c r="C39" i="3"/>
  <c r="D39" i="3"/>
  <c r="N8" i="3"/>
  <c r="B20" i="3"/>
  <c r="G171" i="5" l="1"/>
  <c r="H171" i="5" s="1"/>
  <c r="G172" i="5"/>
  <c r="H172" i="5" s="1"/>
  <c r="G173" i="5"/>
  <c r="H173" i="5" s="1"/>
  <c r="I72" i="3"/>
  <c r="H72" i="3"/>
  <c r="E218" i="5"/>
  <c r="T77" i="5"/>
  <c r="T89" i="5" s="1"/>
  <c r="S89" i="5"/>
  <c r="T60" i="5"/>
  <c r="T72" i="5" s="1"/>
  <c r="S72" i="5"/>
  <c r="T77" i="4"/>
  <c r="T89" i="4" s="1"/>
  <c r="S89" i="4"/>
  <c r="S72" i="4"/>
  <c r="T60" i="4"/>
  <c r="T72" i="4" s="1"/>
  <c r="T77" i="3"/>
  <c r="T89" i="3" s="1"/>
  <c r="S89" i="3"/>
  <c r="T60" i="3"/>
  <c r="T72" i="3" s="1"/>
  <c r="S72" i="3"/>
  <c r="F11" i="1"/>
  <c r="I89" i="3"/>
  <c r="F12" i="1"/>
  <c r="H89" i="3"/>
  <c r="J66" i="3"/>
  <c r="M66" i="3" s="1"/>
  <c r="K66" i="3"/>
  <c r="K88" i="5"/>
  <c r="J88" i="5"/>
  <c r="M88" i="5" s="1"/>
  <c r="J87" i="5"/>
  <c r="M87" i="5" s="1"/>
  <c r="K87" i="5"/>
  <c r="K86" i="5"/>
  <c r="J86" i="5"/>
  <c r="M86" i="5" s="1"/>
  <c r="K85" i="5"/>
  <c r="J85" i="5"/>
  <c r="M85" i="5" s="1"/>
  <c r="K84" i="5"/>
  <c r="J84" i="5"/>
  <c r="M84" i="5" s="1"/>
  <c r="K83" i="5"/>
  <c r="J83" i="5"/>
  <c r="M83" i="5" s="1"/>
  <c r="K82" i="5"/>
  <c r="J82" i="5"/>
  <c r="M82" i="5" s="1"/>
  <c r="K81" i="5"/>
  <c r="J81" i="5"/>
  <c r="M81" i="5" s="1"/>
  <c r="J80" i="5"/>
  <c r="M80" i="5" s="1"/>
  <c r="K80" i="5"/>
  <c r="J79" i="5"/>
  <c r="M79" i="5" s="1"/>
  <c r="K79" i="5"/>
  <c r="J78" i="5"/>
  <c r="M78" i="5" s="1"/>
  <c r="K78" i="5"/>
  <c r="J71" i="5"/>
  <c r="M71" i="5" s="1"/>
  <c r="K71" i="5"/>
  <c r="J70" i="5"/>
  <c r="M70" i="5" s="1"/>
  <c r="K70" i="5"/>
  <c r="J69" i="5"/>
  <c r="M69" i="5" s="1"/>
  <c r="K69" i="5"/>
  <c r="J68" i="5"/>
  <c r="M68" i="5" s="1"/>
  <c r="K68" i="5"/>
  <c r="J67" i="5"/>
  <c r="M67" i="5" s="1"/>
  <c r="K67" i="5"/>
  <c r="J66" i="5"/>
  <c r="M66" i="5" s="1"/>
  <c r="K66" i="5"/>
  <c r="J65" i="5"/>
  <c r="M65" i="5" s="1"/>
  <c r="K65" i="5"/>
  <c r="J64" i="5"/>
  <c r="M64" i="5" s="1"/>
  <c r="K64" i="5"/>
  <c r="K63" i="5"/>
  <c r="J63" i="5"/>
  <c r="M63" i="5" s="1"/>
  <c r="K62" i="5"/>
  <c r="J62" i="5"/>
  <c r="M62" i="5" s="1"/>
  <c r="K61" i="5"/>
  <c r="J61" i="5"/>
  <c r="M61" i="5" s="1"/>
  <c r="K60" i="5"/>
  <c r="K72" i="5" s="1"/>
  <c r="C42" i="5" s="1"/>
  <c r="G72" i="5"/>
  <c r="J60" i="5"/>
  <c r="O82" i="5"/>
  <c r="P82" i="5" s="1"/>
  <c r="R82" i="5" s="1"/>
  <c r="O81" i="5"/>
  <c r="P81" i="5" s="1"/>
  <c r="R81" i="5" s="1"/>
  <c r="O79" i="5"/>
  <c r="P79" i="5" s="1"/>
  <c r="R79" i="5" s="1"/>
  <c r="O78" i="5"/>
  <c r="P78" i="5" s="1"/>
  <c r="R78" i="5" s="1"/>
  <c r="O77" i="5"/>
  <c r="P77" i="5"/>
  <c r="N89" i="5"/>
  <c r="O80" i="5"/>
  <c r="P80" i="5" s="1"/>
  <c r="R80" i="5" s="1"/>
  <c r="O86" i="5"/>
  <c r="P86" i="5" s="1"/>
  <c r="R86" i="5" s="1"/>
  <c r="O88" i="5"/>
  <c r="P88" i="5" s="1"/>
  <c r="R88" i="5" s="1"/>
  <c r="O87" i="5"/>
  <c r="P87" i="5" s="1"/>
  <c r="R87" i="5" s="1"/>
  <c r="O85" i="5"/>
  <c r="P85" i="5" s="1"/>
  <c r="R85" i="5" s="1"/>
  <c r="O84" i="5"/>
  <c r="P84" i="5" s="1"/>
  <c r="R84" i="5" s="1"/>
  <c r="O83" i="5"/>
  <c r="P83" i="5" s="1"/>
  <c r="R83" i="5" s="1"/>
  <c r="O62" i="5"/>
  <c r="P62" i="5" s="1"/>
  <c r="R62" i="5" s="1"/>
  <c r="O66" i="5"/>
  <c r="P66" i="5" s="1"/>
  <c r="R66" i="5" s="1"/>
  <c r="O65" i="5"/>
  <c r="P65" i="5"/>
  <c r="R65" i="5" s="1"/>
  <c r="O71" i="5"/>
  <c r="P71" i="5" s="1"/>
  <c r="R71" i="5" s="1"/>
  <c r="O64" i="5"/>
  <c r="P64" i="5" s="1"/>
  <c r="R64" i="5" s="1"/>
  <c r="O63" i="5"/>
  <c r="P63" i="5"/>
  <c r="R63" i="5" s="1"/>
  <c r="O70" i="5"/>
  <c r="P70" i="5"/>
  <c r="R70" i="5" s="1"/>
  <c r="N72" i="5"/>
  <c r="O60" i="5"/>
  <c r="P60" i="5" s="1"/>
  <c r="O69" i="5"/>
  <c r="P69" i="5" s="1"/>
  <c r="R69" i="5" s="1"/>
  <c r="O68" i="5"/>
  <c r="P68" i="5" s="1"/>
  <c r="R68" i="5" s="1"/>
  <c r="O61" i="5"/>
  <c r="P61" i="5" s="1"/>
  <c r="R61" i="5" s="1"/>
  <c r="O67" i="5"/>
  <c r="P67" i="5" s="1"/>
  <c r="R67" i="5" s="1"/>
  <c r="D40" i="5"/>
  <c r="C124" i="5"/>
  <c r="E124" i="5" s="1"/>
  <c r="C125" i="5"/>
  <c r="E125" i="5" s="1"/>
  <c r="C126" i="5"/>
  <c r="E126" i="5" s="1"/>
  <c r="C127" i="5"/>
  <c r="E127" i="5" s="1"/>
  <c r="C128" i="5"/>
  <c r="E128" i="5" s="1"/>
  <c r="C129" i="5"/>
  <c r="E129" i="5" s="1"/>
  <c r="C130" i="5"/>
  <c r="E130" i="5" s="1"/>
  <c r="C131" i="5"/>
  <c r="E131" i="5" s="1"/>
  <c r="C132" i="5"/>
  <c r="E132" i="5" s="1"/>
  <c r="C133" i="5"/>
  <c r="E133" i="5" s="1"/>
  <c r="C134" i="5"/>
  <c r="E134" i="5" s="1"/>
  <c r="C135" i="5"/>
  <c r="E135" i="5" s="1"/>
  <c r="C136" i="5"/>
  <c r="E136" i="5" s="1"/>
  <c r="C137" i="5"/>
  <c r="E137" i="5" s="1"/>
  <c r="C138" i="5"/>
  <c r="E138" i="5" s="1"/>
  <c r="C139" i="5"/>
  <c r="E139" i="5" s="1"/>
  <c r="C120" i="5"/>
  <c r="E120" i="5" s="1"/>
  <c r="C121" i="5"/>
  <c r="E121" i="5" s="1"/>
  <c r="C122" i="5"/>
  <c r="E122" i="5" s="1"/>
  <c r="C123" i="5"/>
  <c r="E123" i="5" s="1"/>
  <c r="C96" i="5"/>
  <c r="E96" i="5" s="1"/>
  <c r="C100" i="5"/>
  <c r="E100" i="5" s="1"/>
  <c r="C40" i="5"/>
  <c r="C95" i="5"/>
  <c r="E95" i="5" s="1"/>
  <c r="C97" i="5"/>
  <c r="E97" i="5" s="1"/>
  <c r="C98" i="5"/>
  <c r="E98" i="5" s="1"/>
  <c r="C99" i="5"/>
  <c r="E99" i="5" s="1"/>
  <c r="C101" i="5"/>
  <c r="E101" i="5" s="1"/>
  <c r="C102" i="5"/>
  <c r="E102" i="5" s="1"/>
  <c r="C103" i="5"/>
  <c r="E103" i="5" s="1"/>
  <c r="C104" i="5"/>
  <c r="E104" i="5" s="1"/>
  <c r="C105" i="5"/>
  <c r="E105" i="5" s="1"/>
  <c r="C106" i="5"/>
  <c r="E106" i="5" s="1"/>
  <c r="C107" i="5"/>
  <c r="E107" i="5" s="1"/>
  <c r="C108" i="5"/>
  <c r="E108" i="5" s="1"/>
  <c r="C109" i="5"/>
  <c r="E109" i="5" s="1"/>
  <c r="C110" i="5"/>
  <c r="E110" i="5" s="1"/>
  <c r="C111" i="5"/>
  <c r="E111" i="5" s="1"/>
  <c r="C112" i="5"/>
  <c r="E112" i="5" s="1"/>
  <c r="C113" i="5"/>
  <c r="E113" i="5" s="1"/>
  <c r="C114" i="5"/>
  <c r="E114" i="5" s="1"/>
  <c r="K88" i="4"/>
  <c r="J88" i="4"/>
  <c r="M88" i="4" s="1"/>
  <c r="K87" i="4"/>
  <c r="J87" i="4"/>
  <c r="M87" i="4" s="1"/>
  <c r="J86" i="4"/>
  <c r="M86" i="4" s="1"/>
  <c r="K86" i="4"/>
  <c r="J85" i="4"/>
  <c r="M85" i="4" s="1"/>
  <c r="K85" i="4"/>
  <c r="K84" i="4"/>
  <c r="J84" i="4"/>
  <c r="M84" i="4" s="1"/>
  <c r="K83" i="4"/>
  <c r="J83" i="4"/>
  <c r="M83" i="4" s="1"/>
  <c r="J82" i="4"/>
  <c r="M82" i="4" s="1"/>
  <c r="K82" i="4"/>
  <c r="J81" i="4"/>
  <c r="M81" i="4" s="1"/>
  <c r="K81" i="4"/>
  <c r="K80" i="4"/>
  <c r="J80" i="4"/>
  <c r="M80" i="4" s="1"/>
  <c r="J79" i="4"/>
  <c r="M79" i="4" s="1"/>
  <c r="K79" i="4"/>
  <c r="J78" i="4"/>
  <c r="M78" i="4" s="1"/>
  <c r="K78" i="4"/>
  <c r="J77" i="4"/>
  <c r="G89" i="4"/>
  <c r="K77" i="4"/>
  <c r="K89" i="4" s="1"/>
  <c r="D42" i="4" s="1"/>
  <c r="K71" i="4"/>
  <c r="J71" i="4"/>
  <c r="M71" i="4" s="1"/>
  <c r="K70" i="4"/>
  <c r="J70" i="4"/>
  <c r="M70" i="4" s="1"/>
  <c r="K69" i="4"/>
  <c r="J69" i="4"/>
  <c r="M69" i="4" s="1"/>
  <c r="K68" i="4"/>
  <c r="J68" i="4"/>
  <c r="M68" i="4" s="1"/>
  <c r="K67" i="4"/>
  <c r="J67" i="4"/>
  <c r="M67" i="4" s="1"/>
  <c r="J66" i="4"/>
  <c r="M66" i="4" s="1"/>
  <c r="K66" i="4"/>
  <c r="J65" i="4"/>
  <c r="M65" i="4" s="1"/>
  <c r="K65" i="4"/>
  <c r="J64" i="4"/>
  <c r="M64" i="4" s="1"/>
  <c r="K64" i="4"/>
  <c r="J63" i="4"/>
  <c r="M63" i="4" s="1"/>
  <c r="K63" i="4"/>
  <c r="J62" i="4"/>
  <c r="M62" i="4" s="1"/>
  <c r="K62" i="4"/>
  <c r="J61" i="4"/>
  <c r="M61" i="4" s="1"/>
  <c r="K61" i="4"/>
  <c r="J60" i="4"/>
  <c r="K60" i="4"/>
  <c r="K72" i="4" s="1"/>
  <c r="C42" i="4" s="1"/>
  <c r="G72" i="4"/>
  <c r="O82" i="4"/>
  <c r="P82" i="4" s="1"/>
  <c r="R82" i="4" s="1"/>
  <c r="O83" i="4"/>
  <c r="P83" i="4" s="1"/>
  <c r="R83" i="4" s="1"/>
  <c r="O80" i="4"/>
  <c r="P80" i="4" s="1"/>
  <c r="R80" i="4" s="1"/>
  <c r="O79" i="4"/>
  <c r="P79" i="4" s="1"/>
  <c r="R79" i="4" s="1"/>
  <c r="O81" i="4"/>
  <c r="P81" i="4" s="1"/>
  <c r="R81" i="4" s="1"/>
  <c r="O78" i="4"/>
  <c r="P78" i="4" s="1"/>
  <c r="R78" i="4" s="1"/>
  <c r="O84" i="4"/>
  <c r="P84" i="4" s="1"/>
  <c r="R84" i="4" s="1"/>
  <c r="N89" i="4"/>
  <c r="O77" i="4"/>
  <c r="P77" i="4" s="1"/>
  <c r="O88" i="4"/>
  <c r="P88" i="4" s="1"/>
  <c r="R88" i="4" s="1"/>
  <c r="O86" i="4"/>
  <c r="P86" i="4" s="1"/>
  <c r="R86" i="4" s="1"/>
  <c r="O87" i="4"/>
  <c r="P87" i="4" s="1"/>
  <c r="R87" i="4" s="1"/>
  <c r="O85" i="4"/>
  <c r="P85" i="4" s="1"/>
  <c r="R85" i="4" s="1"/>
  <c r="O69" i="4"/>
  <c r="P69" i="4" s="1"/>
  <c r="R69" i="4" s="1"/>
  <c r="O70" i="4"/>
  <c r="P70" i="4"/>
  <c r="R70" i="4" s="1"/>
  <c r="O67" i="4"/>
  <c r="P67" i="4" s="1"/>
  <c r="R67" i="4" s="1"/>
  <c r="O71" i="4"/>
  <c r="P71" i="4" s="1"/>
  <c r="R71" i="4" s="1"/>
  <c r="O62" i="4"/>
  <c r="P62" i="4" s="1"/>
  <c r="R62" i="4" s="1"/>
  <c r="O68" i="4"/>
  <c r="P68" i="4" s="1"/>
  <c r="R68" i="4" s="1"/>
  <c r="O65" i="4"/>
  <c r="P65" i="4" s="1"/>
  <c r="R65" i="4" s="1"/>
  <c r="O66" i="4"/>
  <c r="P66" i="4" s="1"/>
  <c r="R66" i="4" s="1"/>
  <c r="O61" i="4"/>
  <c r="P61" i="4"/>
  <c r="R61" i="4" s="1"/>
  <c r="N72" i="4"/>
  <c r="O60" i="4"/>
  <c r="P60" i="4" s="1"/>
  <c r="O63" i="4"/>
  <c r="P63" i="4" s="1"/>
  <c r="R63" i="4" s="1"/>
  <c r="O64" i="4"/>
  <c r="P64" i="4"/>
  <c r="R64" i="4" s="1"/>
  <c r="C95" i="4"/>
  <c r="E95" i="4" s="1"/>
  <c r="C102" i="4"/>
  <c r="E102" i="4" s="1"/>
  <c r="C103" i="4"/>
  <c r="E103" i="4" s="1"/>
  <c r="C105" i="4"/>
  <c r="E105" i="4" s="1"/>
  <c r="C106" i="4"/>
  <c r="E106" i="4" s="1"/>
  <c r="C107" i="4"/>
  <c r="E107" i="4" s="1"/>
  <c r="C113" i="4"/>
  <c r="E113" i="4" s="1"/>
  <c r="C98" i="4"/>
  <c r="E98" i="4" s="1"/>
  <c r="C101" i="4"/>
  <c r="E101" i="4" s="1"/>
  <c r="C112" i="4"/>
  <c r="E112" i="4" s="1"/>
  <c r="C114" i="4"/>
  <c r="E114" i="4" s="1"/>
  <c r="C96" i="4"/>
  <c r="E96" i="4" s="1"/>
  <c r="C100" i="4"/>
  <c r="E100" i="4" s="1"/>
  <c r="C110" i="4"/>
  <c r="E110" i="4" s="1"/>
  <c r="C40" i="4"/>
  <c r="C97" i="4"/>
  <c r="E97" i="4" s="1"/>
  <c r="C99" i="4"/>
  <c r="E99" i="4" s="1"/>
  <c r="C104" i="4"/>
  <c r="E104" i="4" s="1"/>
  <c r="C108" i="4"/>
  <c r="E108" i="4" s="1"/>
  <c r="C109" i="4"/>
  <c r="E109" i="4" s="1"/>
  <c r="C111" i="4"/>
  <c r="E111" i="4" s="1"/>
  <c r="C122" i="4"/>
  <c r="E122" i="4" s="1"/>
  <c r="C125" i="4"/>
  <c r="E125" i="4" s="1"/>
  <c r="C126" i="4"/>
  <c r="E126" i="4" s="1"/>
  <c r="C128" i="4"/>
  <c r="E128" i="4" s="1"/>
  <c r="C130" i="4"/>
  <c r="E130" i="4" s="1"/>
  <c r="C133" i="4"/>
  <c r="E133" i="4" s="1"/>
  <c r="C134" i="4"/>
  <c r="E134" i="4" s="1"/>
  <c r="C136" i="4"/>
  <c r="E136" i="4" s="1"/>
  <c r="C137" i="4"/>
  <c r="E137" i="4" s="1"/>
  <c r="C138" i="4"/>
  <c r="E138" i="4" s="1"/>
  <c r="C139" i="4"/>
  <c r="E139" i="4" s="1"/>
  <c r="D40" i="4"/>
  <c r="C121" i="4"/>
  <c r="E121" i="4" s="1"/>
  <c r="C123" i="4"/>
  <c r="E123" i="4" s="1"/>
  <c r="C124" i="4"/>
  <c r="E124" i="4" s="1"/>
  <c r="C127" i="4"/>
  <c r="E127" i="4" s="1"/>
  <c r="C129" i="4"/>
  <c r="E129" i="4" s="1"/>
  <c r="C131" i="4"/>
  <c r="E131" i="4" s="1"/>
  <c r="C132" i="4"/>
  <c r="E132" i="4" s="1"/>
  <c r="C135" i="4"/>
  <c r="E135" i="4" s="1"/>
  <c r="C120" i="4"/>
  <c r="E120" i="4" s="1"/>
  <c r="J88" i="3"/>
  <c r="M88" i="3" s="1"/>
  <c r="K88" i="3"/>
  <c r="J87" i="3"/>
  <c r="M87" i="3" s="1"/>
  <c r="K87" i="3"/>
  <c r="J86" i="3"/>
  <c r="M86" i="3" s="1"/>
  <c r="K86" i="3"/>
  <c r="J85" i="3"/>
  <c r="M85" i="3" s="1"/>
  <c r="K85" i="3"/>
  <c r="J84" i="3"/>
  <c r="M84" i="3" s="1"/>
  <c r="K84" i="3"/>
  <c r="J83" i="3"/>
  <c r="M83" i="3" s="1"/>
  <c r="K83" i="3"/>
  <c r="J82" i="3"/>
  <c r="M82" i="3" s="1"/>
  <c r="K82" i="3"/>
  <c r="J81" i="3"/>
  <c r="M81" i="3" s="1"/>
  <c r="K81" i="3"/>
  <c r="J80" i="3"/>
  <c r="M80" i="3" s="1"/>
  <c r="K80" i="3"/>
  <c r="J79" i="3"/>
  <c r="M79" i="3" s="1"/>
  <c r="K79" i="3"/>
  <c r="J78" i="3"/>
  <c r="M78" i="3" s="1"/>
  <c r="K78" i="3"/>
  <c r="J77" i="3"/>
  <c r="K77" i="3"/>
  <c r="G89" i="3"/>
  <c r="J71" i="3"/>
  <c r="M71" i="3" s="1"/>
  <c r="K71" i="3"/>
  <c r="K70" i="3"/>
  <c r="J70" i="3"/>
  <c r="M70" i="3" s="1"/>
  <c r="J69" i="3"/>
  <c r="M69" i="3" s="1"/>
  <c r="K69" i="3"/>
  <c r="J68" i="3"/>
  <c r="M68" i="3" s="1"/>
  <c r="K68" i="3"/>
  <c r="J67" i="3"/>
  <c r="M67" i="3" s="1"/>
  <c r="K67" i="3"/>
  <c r="J65" i="3"/>
  <c r="M65" i="3" s="1"/>
  <c r="K65" i="3"/>
  <c r="J64" i="3"/>
  <c r="M64" i="3" s="1"/>
  <c r="K64" i="3"/>
  <c r="J63" i="3"/>
  <c r="M63" i="3" s="1"/>
  <c r="K63" i="3"/>
  <c r="J62" i="3"/>
  <c r="M62" i="3" s="1"/>
  <c r="K62" i="3"/>
  <c r="J61" i="3"/>
  <c r="M61" i="3" s="1"/>
  <c r="K61" i="3"/>
  <c r="J60" i="3"/>
  <c r="K60" i="3"/>
  <c r="G72" i="3"/>
  <c r="O79" i="3"/>
  <c r="P79" i="3"/>
  <c r="R79" i="3" s="1"/>
  <c r="O78" i="3"/>
  <c r="P78" i="3"/>
  <c r="R78" i="3" s="1"/>
  <c r="O77" i="3"/>
  <c r="P77" i="3"/>
  <c r="N89" i="3"/>
  <c r="O84" i="3"/>
  <c r="P84" i="3"/>
  <c r="R84" i="3" s="1"/>
  <c r="O88" i="3"/>
  <c r="P88" i="3"/>
  <c r="R88" i="3" s="1"/>
  <c r="O87" i="3"/>
  <c r="P87" i="3"/>
  <c r="R87" i="3" s="1"/>
  <c r="O86" i="3"/>
  <c r="P86" i="3"/>
  <c r="R86" i="3" s="1"/>
  <c r="O85" i="3"/>
  <c r="P85" i="3"/>
  <c r="R85" i="3" s="1"/>
  <c r="O83" i="3"/>
  <c r="P83" i="3"/>
  <c r="R83" i="3" s="1"/>
  <c r="O82" i="3"/>
  <c r="P82" i="3"/>
  <c r="R82" i="3" s="1"/>
  <c r="O81" i="3"/>
  <c r="P81" i="3"/>
  <c r="R81" i="3" s="1"/>
  <c r="O80" i="3"/>
  <c r="P80" i="3"/>
  <c r="R80" i="3" s="1"/>
  <c r="O60" i="3"/>
  <c r="P60" i="3"/>
  <c r="N72" i="3"/>
  <c r="O70" i="3"/>
  <c r="P70" i="3"/>
  <c r="R70" i="3" s="1"/>
  <c r="O65" i="3"/>
  <c r="P65" i="3"/>
  <c r="R65" i="3" s="1"/>
  <c r="O68" i="3"/>
  <c r="P68" i="3" s="1"/>
  <c r="R68" i="3" s="1"/>
  <c r="O67" i="3"/>
  <c r="P67" i="3" s="1"/>
  <c r="R67" i="3" s="1"/>
  <c r="O61" i="3"/>
  <c r="P61" i="3" s="1"/>
  <c r="R61" i="3" s="1"/>
  <c r="O62" i="3"/>
  <c r="P62" i="3"/>
  <c r="R62" i="3" s="1"/>
  <c r="O64" i="3"/>
  <c r="P64" i="3" s="1"/>
  <c r="R64" i="3" s="1"/>
  <c r="O71" i="3"/>
  <c r="P71" i="3" s="1"/>
  <c r="R71" i="3" s="1"/>
  <c r="O63" i="3"/>
  <c r="P63" i="3"/>
  <c r="R63" i="3" s="1"/>
  <c r="O66" i="3"/>
  <c r="P66" i="3" s="1"/>
  <c r="R66" i="3" s="1"/>
  <c r="O69" i="3"/>
  <c r="P69" i="3" s="1"/>
  <c r="R69" i="3" s="1"/>
  <c r="C40" i="3"/>
  <c r="C98" i="3"/>
  <c r="E98" i="3" s="1"/>
  <c r="C100" i="3"/>
  <c r="E100" i="3" s="1"/>
  <c r="C101" i="3"/>
  <c r="E101" i="3" s="1"/>
  <c r="C104" i="3"/>
  <c r="E104" i="3" s="1"/>
  <c r="C105" i="3"/>
  <c r="E105" i="3" s="1"/>
  <c r="C108" i="3"/>
  <c r="E108" i="3" s="1"/>
  <c r="C109" i="3"/>
  <c r="E109" i="3" s="1"/>
  <c r="C110" i="3"/>
  <c r="E110" i="3" s="1"/>
  <c r="C111" i="3"/>
  <c r="E111" i="3" s="1"/>
  <c r="C114" i="3"/>
  <c r="E114" i="3" s="1"/>
  <c r="C95" i="3"/>
  <c r="E95" i="3" s="1"/>
  <c r="C96" i="3"/>
  <c r="E96" i="3" s="1"/>
  <c r="C97" i="3"/>
  <c r="E97" i="3" s="1"/>
  <c r="C99" i="3"/>
  <c r="E99" i="3" s="1"/>
  <c r="C102" i="3"/>
  <c r="E102" i="3" s="1"/>
  <c r="C103" i="3"/>
  <c r="E103" i="3" s="1"/>
  <c r="C106" i="3"/>
  <c r="E106" i="3" s="1"/>
  <c r="C107" i="3"/>
  <c r="E107" i="3" s="1"/>
  <c r="C112" i="3"/>
  <c r="E112" i="3" s="1"/>
  <c r="C113" i="3"/>
  <c r="E113" i="3" s="1"/>
  <c r="C136" i="3"/>
  <c r="E136" i="3" s="1"/>
  <c r="D40" i="3"/>
  <c r="C120" i="3"/>
  <c r="E120" i="3" s="1"/>
  <c r="C121" i="3"/>
  <c r="E121" i="3" s="1"/>
  <c r="C122" i="3"/>
  <c r="E122" i="3" s="1"/>
  <c r="C123" i="3"/>
  <c r="E123" i="3" s="1"/>
  <c r="C124" i="3"/>
  <c r="E124" i="3" s="1"/>
  <c r="C125" i="3"/>
  <c r="E125" i="3" s="1"/>
  <c r="C126" i="3"/>
  <c r="E126" i="3" s="1"/>
  <c r="C127" i="3"/>
  <c r="E127" i="3" s="1"/>
  <c r="C128" i="3"/>
  <c r="E128" i="3" s="1"/>
  <c r="C129" i="3"/>
  <c r="E129" i="3" s="1"/>
  <c r="C130" i="3"/>
  <c r="E130" i="3" s="1"/>
  <c r="C131" i="3"/>
  <c r="E131" i="3" s="1"/>
  <c r="C132" i="3"/>
  <c r="E132" i="3" s="1"/>
  <c r="C133" i="3"/>
  <c r="E133" i="3" s="1"/>
  <c r="C134" i="3"/>
  <c r="E134" i="3" s="1"/>
  <c r="C135" i="3"/>
  <c r="E135" i="3" s="1"/>
  <c r="C137" i="3"/>
  <c r="E137" i="3" s="1"/>
  <c r="C138" i="3"/>
  <c r="E138" i="3" s="1"/>
  <c r="C139" i="3"/>
  <c r="E139" i="3" s="1"/>
  <c r="Q89" i="5"/>
  <c r="Q72" i="5"/>
  <c r="Q89" i="4"/>
  <c r="Q72" i="4"/>
  <c r="Q89" i="3"/>
  <c r="Q72" i="3"/>
  <c r="H89" i="5"/>
  <c r="J77" i="5"/>
  <c r="K77" i="5"/>
  <c r="E181" i="5" l="1"/>
  <c r="E182" i="5" s="1"/>
  <c r="E183" i="5" s="1"/>
  <c r="K89" i="3"/>
  <c r="D42" i="3" s="1"/>
  <c r="K72" i="3"/>
  <c r="C42" i="3" s="1"/>
  <c r="H101" i="5"/>
  <c r="M101" i="5" s="1"/>
  <c r="H102" i="5"/>
  <c r="M102" i="5" s="1"/>
  <c r="H103" i="5"/>
  <c r="M103" i="5" s="1"/>
  <c r="H104" i="5"/>
  <c r="M104" i="5" s="1"/>
  <c r="H105" i="5"/>
  <c r="M105" i="5" s="1"/>
  <c r="H106" i="5"/>
  <c r="M106" i="5" s="1"/>
  <c r="H107" i="5"/>
  <c r="M107" i="5" s="1"/>
  <c r="H108" i="5"/>
  <c r="M108" i="5" s="1"/>
  <c r="H109" i="5"/>
  <c r="M109" i="5" s="1"/>
  <c r="C46" i="5"/>
  <c r="H95" i="5"/>
  <c r="M95" i="5" s="1"/>
  <c r="H96" i="5"/>
  <c r="M96" i="5" s="1"/>
  <c r="H97" i="5"/>
  <c r="M97" i="5" s="1"/>
  <c r="H98" i="5"/>
  <c r="M98" i="5" s="1"/>
  <c r="H99" i="5"/>
  <c r="M99" i="5" s="1"/>
  <c r="H100" i="5"/>
  <c r="M100" i="5" s="1"/>
  <c r="M60" i="5"/>
  <c r="M72" i="5" s="1"/>
  <c r="C43" i="5" s="1"/>
  <c r="J72" i="5"/>
  <c r="P89" i="5"/>
  <c r="R77" i="5"/>
  <c r="R89" i="5" s="1"/>
  <c r="D44" i="5" s="1"/>
  <c r="P72" i="5"/>
  <c r="R60" i="5"/>
  <c r="R72" i="5" s="1"/>
  <c r="C44" i="5" s="1"/>
  <c r="J89" i="4"/>
  <c r="M77" i="4"/>
  <c r="M89" i="4" s="1"/>
  <c r="D43" i="4" s="1"/>
  <c r="H120" i="4"/>
  <c r="M120" i="4" s="1"/>
  <c r="H121" i="4"/>
  <c r="M121" i="4" s="1"/>
  <c r="H125" i="4"/>
  <c r="M125" i="4" s="1"/>
  <c r="H126" i="4"/>
  <c r="M126" i="4" s="1"/>
  <c r="H132" i="4"/>
  <c r="M132" i="4" s="1"/>
  <c r="H133" i="4"/>
  <c r="M133" i="4" s="1"/>
  <c r="H134" i="4"/>
  <c r="M134" i="4" s="1"/>
  <c r="H124" i="4"/>
  <c r="M124" i="4" s="1"/>
  <c r="D46" i="4"/>
  <c r="J7" i="1" s="1"/>
  <c r="H122" i="4"/>
  <c r="M122" i="4" s="1"/>
  <c r="H123" i="4"/>
  <c r="M123" i="4" s="1"/>
  <c r="H127" i="4"/>
  <c r="M127" i="4" s="1"/>
  <c r="H128" i="4"/>
  <c r="M128" i="4" s="1"/>
  <c r="H129" i="4"/>
  <c r="M129" i="4" s="1"/>
  <c r="H130" i="4"/>
  <c r="M130" i="4" s="1"/>
  <c r="H131" i="4"/>
  <c r="M131" i="4" s="1"/>
  <c r="M60" i="4"/>
  <c r="M72" i="4" s="1"/>
  <c r="C43" i="4" s="1"/>
  <c r="J72" i="4"/>
  <c r="C46" i="4"/>
  <c r="H98" i="4"/>
  <c r="M98" i="4" s="1"/>
  <c r="H100" i="4"/>
  <c r="M100" i="4" s="1"/>
  <c r="H102" i="4"/>
  <c r="M102" i="4" s="1"/>
  <c r="H105" i="4"/>
  <c r="M105" i="4" s="1"/>
  <c r="H106" i="4"/>
  <c r="M106" i="4" s="1"/>
  <c r="H96" i="4"/>
  <c r="M96" i="4" s="1"/>
  <c r="H99" i="4"/>
  <c r="M99" i="4" s="1"/>
  <c r="H101" i="4"/>
  <c r="M101" i="4" s="1"/>
  <c r="H109" i="4"/>
  <c r="M109" i="4" s="1"/>
  <c r="H103" i="4"/>
  <c r="M103" i="4" s="1"/>
  <c r="H104" i="4"/>
  <c r="M104" i="4" s="1"/>
  <c r="H107" i="4"/>
  <c r="M107" i="4" s="1"/>
  <c r="H108" i="4"/>
  <c r="M108" i="4" s="1"/>
  <c r="H95" i="4"/>
  <c r="M95" i="4" s="1"/>
  <c r="H97" i="4"/>
  <c r="M97" i="4" s="1"/>
  <c r="R77" i="4"/>
  <c r="R89" i="4" s="1"/>
  <c r="D44" i="4" s="1"/>
  <c r="P89" i="4"/>
  <c r="R60" i="4"/>
  <c r="R72" i="4" s="1"/>
  <c r="C44" i="4" s="1"/>
  <c r="P72" i="4"/>
  <c r="M77" i="3"/>
  <c r="M89" i="3" s="1"/>
  <c r="D43" i="3" s="1"/>
  <c r="J89" i="3"/>
  <c r="M60" i="3"/>
  <c r="M72" i="3" s="1"/>
  <c r="C43" i="3" s="1"/>
  <c r="J72" i="3"/>
  <c r="R77" i="3"/>
  <c r="R89" i="3" s="1"/>
  <c r="D44" i="3" s="1"/>
  <c r="P89" i="3"/>
  <c r="R60" i="3"/>
  <c r="R72" i="3" s="1"/>
  <c r="C44" i="3" s="1"/>
  <c r="P72" i="3"/>
  <c r="M77" i="5"/>
  <c r="M89" i="5" s="1"/>
  <c r="D43" i="5" s="1"/>
  <c r="J89" i="5"/>
  <c r="O89" i="4"/>
  <c r="O72" i="4"/>
  <c r="O72" i="5"/>
  <c r="O89" i="3"/>
  <c r="O72" i="3"/>
  <c r="K89" i="5"/>
  <c r="D42" i="5" s="1"/>
  <c r="O89" i="5"/>
  <c r="H120" i="3" l="1"/>
  <c r="M120" i="3" s="1"/>
  <c r="H121" i="3"/>
  <c r="M121" i="3" s="1"/>
  <c r="H122" i="3"/>
  <c r="M122" i="3" s="1"/>
  <c r="H123" i="3"/>
  <c r="M123" i="3" s="1"/>
  <c r="H124" i="3"/>
  <c r="M124" i="3" s="1"/>
  <c r="H125" i="3"/>
  <c r="M125" i="3" s="1"/>
  <c r="H126" i="3"/>
  <c r="M126" i="3" s="1"/>
  <c r="H127" i="3"/>
  <c r="M127" i="3" s="1"/>
  <c r="H128" i="3"/>
  <c r="M128" i="3" s="1"/>
  <c r="H129" i="3"/>
  <c r="M129" i="3" s="1"/>
  <c r="H130" i="3"/>
  <c r="M130" i="3" s="1"/>
  <c r="H131" i="3"/>
  <c r="M131" i="3" s="1"/>
  <c r="H132" i="3"/>
  <c r="M132" i="3" s="1"/>
  <c r="H133" i="3"/>
  <c r="M133" i="3" s="1"/>
  <c r="H134" i="3"/>
  <c r="M134" i="3" s="1"/>
  <c r="D46" i="3"/>
  <c r="J5" i="1" s="1"/>
  <c r="H108" i="3"/>
  <c r="M108" i="3" s="1"/>
  <c r="H101" i="3"/>
  <c r="M101" i="3" s="1"/>
  <c r="H105" i="3"/>
  <c r="M105" i="3" s="1"/>
  <c r="H95" i="3"/>
  <c r="M95" i="3" s="1"/>
  <c r="H98" i="3"/>
  <c r="M98" i="3" s="1"/>
  <c r="H99" i="3"/>
  <c r="M99" i="3" s="1"/>
  <c r="H102" i="3"/>
  <c r="M102" i="3" s="1"/>
  <c r="H104" i="3"/>
  <c r="M104" i="3" s="1"/>
  <c r="H106" i="3"/>
  <c r="M106" i="3" s="1"/>
  <c r="H107" i="3"/>
  <c r="M107" i="3" s="1"/>
  <c r="H109" i="3"/>
  <c r="M109" i="3" s="1"/>
  <c r="H96" i="3"/>
  <c r="M96" i="3" s="1"/>
  <c r="H97" i="3"/>
  <c r="M97" i="3" s="1"/>
  <c r="H100" i="3"/>
  <c r="M100" i="3" s="1"/>
  <c r="H103" i="3"/>
  <c r="M103" i="3" s="1"/>
  <c r="C46" i="3"/>
  <c r="E147" i="5"/>
  <c r="J8" i="1"/>
  <c r="O95" i="5"/>
  <c r="C51" i="5"/>
  <c r="P8" i="1" s="1"/>
  <c r="C146" i="5"/>
  <c r="F96" i="5"/>
  <c r="F98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C45" i="5"/>
  <c r="F95" i="5"/>
  <c r="F97" i="5"/>
  <c r="F99" i="5"/>
  <c r="C147" i="5"/>
  <c r="D47" i="5"/>
  <c r="K9" i="1" s="1"/>
  <c r="G120" i="5"/>
  <c r="I120" i="5" s="1"/>
  <c r="N120" i="5" s="1"/>
  <c r="G121" i="5"/>
  <c r="I121" i="5" s="1"/>
  <c r="N121" i="5" s="1"/>
  <c r="G122" i="5"/>
  <c r="I122" i="5" s="1"/>
  <c r="N122" i="5" s="1"/>
  <c r="G123" i="5"/>
  <c r="I123" i="5" s="1"/>
  <c r="N123" i="5" s="1"/>
  <c r="G124" i="5"/>
  <c r="I124" i="5" s="1"/>
  <c r="N124" i="5" s="1"/>
  <c r="G125" i="5"/>
  <c r="I125" i="5" s="1"/>
  <c r="N125" i="5" s="1"/>
  <c r="G126" i="5"/>
  <c r="I126" i="5" s="1"/>
  <c r="N126" i="5" s="1"/>
  <c r="G127" i="5"/>
  <c r="I127" i="5" s="1"/>
  <c r="N127" i="5" s="1"/>
  <c r="G128" i="5"/>
  <c r="I128" i="5" s="1"/>
  <c r="N128" i="5" s="1"/>
  <c r="G129" i="5"/>
  <c r="I129" i="5" s="1"/>
  <c r="N129" i="5" s="1"/>
  <c r="G130" i="5"/>
  <c r="I130" i="5" s="1"/>
  <c r="N130" i="5" s="1"/>
  <c r="G131" i="5"/>
  <c r="I131" i="5" s="1"/>
  <c r="N131" i="5" s="1"/>
  <c r="G132" i="5"/>
  <c r="I132" i="5" s="1"/>
  <c r="N132" i="5" s="1"/>
  <c r="G133" i="5"/>
  <c r="I133" i="5" s="1"/>
  <c r="N133" i="5" s="1"/>
  <c r="G134" i="5"/>
  <c r="I134" i="5" s="1"/>
  <c r="N134" i="5" s="1"/>
  <c r="G135" i="5"/>
  <c r="G136" i="5"/>
  <c r="G137" i="5"/>
  <c r="G138" i="5"/>
  <c r="G139" i="5"/>
  <c r="C47" i="5"/>
  <c r="D147" i="5"/>
  <c r="G95" i="5"/>
  <c r="I95" i="5" s="1"/>
  <c r="N95" i="5" s="1"/>
  <c r="G96" i="5"/>
  <c r="I96" i="5" s="1"/>
  <c r="N96" i="5" s="1"/>
  <c r="G97" i="5"/>
  <c r="I97" i="5" s="1"/>
  <c r="N97" i="5" s="1"/>
  <c r="G98" i="5"/>
  <c r="I98" i="5" s="1"/>
  <c r="N98" i="5" s="1"/>
  <c r="G99" i="5"/>
  <c r="I99" i="5" s="1"/>
  <c r="N99" i="5" s="1"/>
  <c r="G100" i="5"/>
  <c r="I100" i="5" s="1"/>
  <c r="N100" i="5" s="1"/>
  <c r="G101" i="5"/>
  <c r="I101" i="5" s="1"/>
  <c r="N101" i="5" s="1"/>
  <c r="G102" i="5"/>
  <c r="I102" i="5" s="1"/>
  <c r="N102" i="5" s="1"/>
  <c r="G103" i="5"/>
  <c r="I103" i="5" s="1"/>
  <c r="N103" i="5" s="1"/>
  <c r="G104" i="5"/>
  <c r="I104" i="5" s="1"/>
  <c r="N104" i="5" s="1"/>
  <c r="G105" i="5"/>
  <c r="I105" i="5" s="1"/>
  <c r="N105" i="5" s="1"/>
  <c r="G106" i="5"/>
  <c r="I106" i="5" s="1"/>
  <c r="N106" i="5" s="1"/>
  <c r="G107" i="5"/>
  <c r="I107" i="5" s="1"/>
  <c r="N107" i="5" s="1"/>
  <c r="G108" i="5"/>
  <c r="I108" i="5" s="1"/>
  <c r="N108" i="5" s="1"/>
  <c r="G109" i="5"/>
  <c r="I109" i="5" s="1"/>
  <c r="N109" i="5" s="1"/>
  <c r="G110" i="5"/>
  <c r="G111" i="5"/>
  <c r="G112" i="5"/>
  <c r="G113" i="5"/>
  <c r="G114" i="5"/>
  <c r="D45" i="4"/>
  <c r="F123" i="4"/>
  <c r="F130" i="4"/>
  <c r="F131" i="4"/>
  <c r="F133" i="4"/>
  <c r="F134" i="4"/>
  <c r="F135" i="4"/>
  <c r="F138" i="4"/>
  <c r="F126" i="4"/>
  <c r="F120" i="4"/>
  <c r="F121" i="4"/>
  <c r="F122" i="4"/>
  <c r="F124" i="4"/>
  <c r="F125" i="4"/>
  <c r="F127" i="4"/>
  <c r="F128" i="4"/>
  <c r="F129" i="4"/>
  <c r="F132" i="4"/>
  <c r="F136" i="4"/>
  <c r="F137" i="4"/>
  <c r="F139" i="4"/>
  <c r="O120" i="4"/>
  <c r="D51" i="4"/>
  <c r="P7" i="1" s="1"/>
  <c r="C146" i="4"/>
  <c r="C45" i="4"/>
  <c r="F97" i="4"/>
  <c r="F99" i="4"/>
  <c r="F108" i="4"/>
  <c r="F111" i="4"/>
  <c r="F96" i="4"/>
  <c r="F101" i="4"/>
  <c r="F103" i="4"/>
  <c r="F105" i="4"/>
  <c r="F109" i="4"/>
  <c r="F113" i="4"/>
  <c r="C147" i="4"/>
  <c r="F102" i="4"/>
  <c r="F104" i="4"/>
  <c r="F114" i="4"/>
  <c r="F110" i="4"/>
  <c r="F112" i="4"/>
  <c r="F98" i="4"/>
  <c r="F95" i="4"/>
  <c r="F100" i="4"/>
  <c r="F106" i="4"/>
  <c r="F107" i="4"/>
  <c r="E147" i="4"/>
  <c r="J6" i="1"/>
  <c r="O95" i="4"/>
  <c r="C51" i="4"/>
  <c r="P6" i="1" s="1"/>
  <c r="G122" i="4"/>
  <c r="I122" i="4" s="1"/>
  <c r="N122" i="4" s="1"/>
  <c r="G124" i="4"/>
  <c r="I124" i="4" s="1"/>
  <c r="N124" i="4" s="1"/>
  <c r="G127" i="4"/>
  <c r="I127" i="4" s="1"/>
  <c r="N127" i="4" s="1"/>
  <c r="G128" i="4"/>
  <c r="I128" i="4" s="1"/>
  <c r="N128" i="4" s="1"/>
  <c r="G129" i="4"/>
  <c r="I129" i="4" s="1"/>
  <c r="N129" i="4" s="1"/>
  <c r="G136" i="4"/>
  <c r="G139" i="4"/>
  <c r="G123" i="4"/>
  <c r="I123" i="4" s="1"/>
  <c r="N123" i="4" s="1"/>
  <c r="G120" i="4"/>
  <c r="I120" i="4" s="1"/>
  <c r="N120" i="4" s="1"/>
  <c r="G121" i="4"/>
  <c r="I121" i="4" s="1"/>
  <c r="N121" i="4" s="1"/>
  <c r="G125" i="4"/>
  <c r="I125" i="4" s="1"/>
  <c r="N125" i="4" s="1"/>
  <c r="G126" i="4"/>
  <c r="I126" i="4" s="1"/>
  <c r="N126" i="4" s="1"/>
  <c r="D47" i="4"/>
  <c r="K7" i="1" s="1"/>
  <c r="G130" i="4"/>
  <c r="I130" i="4" s="1"/>
  <c r="N130" i="4" s="1"/>
  <c r="G131" i="4"/>
  <c r="I131" i="4" s="1"/>
  <c r="N131" i="4" s="1"/>
  <c r="G132" i="4"/>
  <c r="I132" i="4" s="1"/>
  <c r="N132" i="4" s="1"/>
  <c r="G133" i="4"/>
  <c r="I133" i="4" s="1"/>
  <c r="N133" i="4" s="1"/>
  <c r="G134" i="4"/>
  <c r="I134" i="4" s="1"/>
  <c r="N134" i="4" s="1"/>
  <c r="G135" i="4"/>
  <c r="G137" i="4"/>
  <c r="G138" i="4"/>
  <c r="G96" i="4"/>
  <c r="I96" i="4" s="1"/>
  <c r="N96" i="4" s="1"/>
  <c r="G109" i="4"/>
  <c r="I109" i="4" s="1"/>
  <c r="N109" i="4" s="1"/>
  <c r="D147" i="4"/>
  <c r="C47" i="4"/>
  <c r="G95" i="4"/>
  <c r="I95" i="4" s="1"/>
  <c r="N95" i="4" s="1"/>
  <c r="G97" i="4"/>
  <c r="I97" i="4" s="1"/>
  <c r="N97" i="4" s="1"/>
  <c r="G100" i="4"/>
  <c r="I100" i="4" s="1"/>
  <c r="N100" i="4" s="1"/>
  <c r="G104" i="4"/>
  <c r="I104" i="4" s="1"/>
  <c r="N104" i="4" s="1"/>
  <c r="G107" i="4"/>
  <c r="I107" i="4" s="1"/>
  <c r="N107" i="4" s="1"/>
  <c r="G101" i="4"/>
  <c r="I101" i="4" s="1"/>
  <c r="N101" i="4" s="1"/>
  <c r="G114" i="4"/>
  <c r="G111" i="4"/>
  <c r="G98" i="4"/>
  <c r="I98" i="4" s="1"/>
  <c r="N98" i="4" s="1"/>
  <c r="G99" i="4"/>
  <c r="I99" i="4" s="1"/>
  <c r="N99" i="4" s="1"/>
  <c r="G102" i="4"/>
  <c r="I102" i="4" s="1"/>
  <c r="N102" i="4" s="1"/>
  <c r="G103" i="4"/>
  <c r="I103" i="4" s="1"/>
  <c r="N103" i="4" s="1"/>
  <c r="G105" i="4"/>
  <c r="I105" i="4" s="1"/>
  <c r="N105" i="4" s="1"/>
  <c r="G106" i="4"/>
  <c r="I106" i="4" s="1"/>
  <c r="N106" i="4" s="1"/>
  <c r="G108" i="4"/>
  <c r="I108" i="4" s="1"/>
  <c r="N108" i="4" s="1"/>
  <c r="G110" i="4"/>
  <c r="G112" i="4"/>
  <c r="G113" i="4"/>
  <c r="D45" i="3"/>
  <c r="F136" i="3"/>
  <c r="F138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7" i="3"/>
  <c r="F139" i="3"/>
  <c r="F96" i="3"/>
  <c r="F98" i="3"/>
  <c r="F102" i="3"/>
  <c r="F104" i="3"/>
  <c r="F105" i="3"/>
  <c r="F106" i="3"/>
  <c r="F107" i="3"/>
  <c r="F108" i="3"/>
  <c r="F109" i="3"/>
  <c r="F110" i="3"/>
  <c r="F114" i="3"/>
  <c r="C146" i="3"/>
  <c r="C147" i="3"/>
  <c r="C45" i="3"/>
  <c r="F95" i="3"/>
  <c r="F97" i="3"/>
  <c r="F99" i="3"/>
  <c r="F100" i="3"/>
  <c r="F101" i="3"/>
  <c r="F103" i="3"/>
  <c r="F111" i="3"/>
  <c r="F112" i="3"/>
  <c r="F113" i="3"/>
  <c r="D47" i="3"/>
  <c r="K5" i="1" s="1"/>
  <c r="G120" i="3"/>
  <c r="I120" i="3" s="1"/>
  <c r="N120" i="3" s="1"/>
  <c r="G121" i="3"/>
  <c r="I121" i="3" s="1"/>
  <c r="N121" i="3" s="1"/>
  <c r="G122" i="3"/>
  <c r="I122" i="3" s="1"/>
  <c r="N122" i="3" s="1"/>
  <c r="G123" i="3"/>
  <c r="I123" i="3" s="1"/>
  <c r="N123" i="3" s="1"/>
  <c r="G124" i="3"/>
  <c r="I124" i="3" s="1"/>
  <c r="N124" i="3" s="1"/>
  <c r="G125" i="3"/>
  <c r="I125" i="3" s="1"/>
  <c r="N125" i="3" s="1"/>
  <c r="G126" i="3"/>
  <c r="I126" i="3" s="1"/>
  <c r="N126" i="3" s="1"/>
  <c r="G127" i="3"/>
  <c r="I127" i="3" s="1"/>
  <c r="N127" i="3" s="1"/>
  <c r="G128" i="3"/>
  <c r="I128" i="3" s="1"/>
  <c r="N128" i="3" s="1"/>
  <c r="G129" i="3"/>
  <c r="I129" i="3" s="1"/>
  <c r="N129" i="3" s="1"/>
  <c r="G130" i="3"/>
  <c r="I130" i="3" s="1"/>
  <c r="N130" i="3" s="1"/>
  <c r="G131" i="3"/>
  <c r="I131" i="3" s="1"/>
  <c r="N131" i="3" s="1"/>
  <c r="G132" i="3"/>
  <c r="I132" i="3" s="1"/>
  <c r="N132" i="3" s="1"/>
  <c r="G133" i="3"/>
  <c r="I133" i="3" s="1"/>
  <c r="N133" i="3" s="1"/>
  <c r="G134" i="3"/>
  <c r="I134" i="3" s="1"/>
  <c r="N134" i="3" s="1"/>
  <c r="G135" i="3"/>
  <c r="G137" i="3"/>
  <c r="G136" i="3"/>
  <c r="G138" i="3"/>
  <c r="G139" i="3"/>
  <c r="G96" i="3"/>
  <c r="I96" i="3" s="1"/>
  <c r="N96" i="3" s="1"/>
  <c r="G97" i="3"/>
  <c r="I97" i="3" s="1"/>
  <c r="N97" i="3" s="1"/>
  <c r="G98" i="3"/>
  <c r="I98" i="3" s="1"/>
  <c r="N98" i="3" s="1"/>
  <c r="G99" i="3"/>
  <c r="I99" i="3" s="1"/>
  <c r="N99" i="3" s="1"/>
  <c r="G100" i="3"/>
  <c r="I100" i="3" s="1"/>
  <c r="N100" i="3" s="1"/>
  <c r="G101" i="3"/>
  <c r="I101" i="3" s="1"/>
  <c r="N101" i="3" s="1"/>
  <c r="G102" i="3"/>
  <c r="I102" i="3" s="1"/>
  <c r="N102" i="3" s="1"/>
  <c r="G103" i="3"/>
  <c r="I103" i="3" s="1"/>
  <c r="N103" i="3" s="1"/>
  <c r="G104" i="3"/>
  <c r="I104" i="3" s="1"/>
  <c r="N104" i="3" s="1"/>
  <c r="G105" i="3"/>
  <c r="I105" i="3" s="1"/>
  <c r="N105" i="3" s="1"/>
  <c r="G106" i="3"/>
  <c r="I106" i="3" s="1"/>
  <c r="N106" i="3" s="1"/>
  <c r="G107" i="3"/>
  <c r="I107" i="3" s="1"/>
  <c r="N107" i="3" s="1"/>
  <c r="G108" i="3"/>
  <c r="I108" i="3" s="1"/>
  <c r="N108" i="3" s="1"/>
  <c r="G109" i="3"/>
  <c r="I109" i="3" s="1"/>
  <c r="N109" i="3" s="1"/>
  <c r="G110" i="3"/>
  <c r="G114" i="3"/>
  <c r="C47" i="3"/>
  <c r="G95" i="3"/>
  <c r="I95" i="3" s="1"/>
  <c r="N95" i="3" s="1"/>
  <c r="G111" i="3"/>
  <c r="G112" i="3"/>
  <c r="G113" i="3"/>
  <c r="D147" i="3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D45" i="5"/>
  <c r="F120" i="5"/>
  <c r="F121" i="5"/>
  <c r="F122" i="5"/>
  <c r="H123" i="5"/>
  <c r="M123" i="5" s="1"/>
  <c r="H124" i="5"/>
  <c r="M124" i="5" s="1"/>
  <c r="H125" i="5"/>
  <c r="M125" i="5" s="1"/>
  <c r="H126" i="5"/>
  <c r="M126" i="5" s="1"/>
  <c r="H127" i="5"/>
  <c r="M127" i="5" s="1"/>
  <c r="H128" i="5"/>
  <c r="M128" i="5" s="1"/>
  <c r="H129" i="5"/>
  <c r="M129" i="5" s="1"/>
  <c r="H130" i="5"/>
  <c r="M130" i="5" s="1"/>
  <c r="H131" i="5"/>
  <c r="M131" i="5" s="1"/>
  <c r="H132" i="5"/>
  <c r="M132" i="5" s="1"/>
  <c r="H133" i="5"/>
  <c r="M133" i="5" s="1"/>
  <c r="H134" i="5"/>
  <c r="M134" i="5" s="1"/>
  <c r="D46" i="5"/>
  <c r="J9" i="1" s="1"/>
  <c r="H120" i="5"/>
  <c r="M120" i="5" s="1"/>
  <c r="H121" i="5"/>
  <c r="M121" i="5" s="1"/>
  <c r="H122" i="5"/>
  <c r="M122" i="5" s="1"/>
  <c r="J131" i="3" l="1"/>
  <c r="L131" i="3" s="1"/>
  <c r="J96" i="3"/>
  <c r="L96" i="3" s="1"/>
  <c r="J106" i="3"/>
  <c r="L106" i="3" s="1"/>
  <c r="J107" i="3"/>
  <c r="L107" i="3" s="1"/>
  <c r="J132" i="3"/>
  <c r="L132" i="3" s="1"/>
  <c r="J12" i="1"/>
  <c r="O120" i="3"/>
  <c r="O121" i="3" s="1"/>
  <c r="O122" i="3" s="1"/>
  <c r="O123" i="3" s="1"/>
  <c r="O124" i="3" s="1"/>
  <c r="D51" i="3"/>
  <c r="P5" i="1" s="1"/>
  <c r="O95" i="3"/>
  <c r="O96" i="3" s="1"/>
  <c r="C51" i="3"/>
  <c r="P4" i="1" s="1"/>
  <c r="E147" i="3"/>
  <c r="J4" i="1"/>
  <c r="J11" i="1" s="1"/>
  <c r="J136" i="3"/>
  <c r="L136" i="3" s="1"/>
  <c r="J138" i="3"/>
  <c r="L138" i="3" s="1"/>
  <c r="J120" i="3"/>
  <c r="D55" i="3" s="1"/>
  <c r="J121" i="3"/>
  <c r="L121" i="3" s="1"/>
  <c r="J122" i="3"/>
  <c r="L122" i="3" s="1"/>
  <c r="J123" i="3"/>
  <c r="L123" i="3" s="1"/>
  <c r="J124" i="3"/>
  <c r="L124" i="3" s="1"/>
  <c r="J125" i="3"/>
  <c r="L125" i="3" s="1"/>
  <c r="J126" i="3"/>
  <c r="L126" i="3" s="1"/>
  <c r="J127" i="3"/>
  <c r="L127" i="3" s="1"/>
  <c r="J128" i="3"/>
  <c r="L128" i="3" s="1"/>
  <c r="J129" i="3"/>
  <c r="L129" i="3" s="1"/>
  <c r="J130" i="3"/>
  <c r="L130" i="3" s="1"/>
  <c r="J133" i="3"/>
  <c r="L133" i="3" s="1"/>
  <c r="J134" i="3"/>
  <c r="L134" i="3" s="1"/>
  <c r="J135" i="3"/>
  <c r="L135" i="3" s="1"/>
  <c r="J137" i="3"/>
  <c r="L137" i="3" s="1"/>
  <c r="J139" i="3"/>
  <c r="L139" i="3" s="1"/>
  <c r="J98" i="3"/>
  <c r="L98" i="3" s="1"/>
  <c r="J102" i="3"/>
  <c r="L102" i="3" s="1"/>
  <c r="J104" i="3"/>
  <c r="L104" i="3" s="1"/>
  <c r="J105" i="3"/>
  <c r="L105" i="3" s="1"/>
  <c r="J130" i="5"/>
  <c r="L130" i="5" s="1"/>
  <c r="J129" i="5"/>
  <c r="L129" i="5" s="1"/>
  <c r="J132" i="5"/>
  <c r="L132" i="5" s="1"/>
  <c r="J128" i="5"/>
  <c r="L128" i="5" s="1"/>
  <c r="J123" i="5"/>
  <c r="L123" i="5" s="1"/>
  <c r="J124" i="5"/>
  <c r="L124" i="5" s="1"/>
  <c r="J125" i="5"/>
  <c r="L125" i="5" s="1"/>
  <c r="J126" i="5"/>
  <c r="L126" i="5" s="1"/>
  <c r="J127" i="5"/>
  <c r="L127" i="5" s="1"/>
  <c r="J131" i="5"/>
  <c r="L131" i="5" s="1"/>
  <c r="O96" i="5"/>
  <c r="C48" i="5"/>
  <c r="C49" i="5"/>
  <c r="M8" i="1" s="1"/>
  <c r="I8" i="1"/>
  <c r="D52" i="5"/>
  <c r="Q9" i="1" s="1"/>
  <c r="P120" i="5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F147" i="5"/>
  <c r="G147" i="5" s="1"/>
  <c r="K8" i="1"/>
  <c r="C52" i="5"/>
  <c r="Q8" i="1" s="1"/>
  <c r="P95" i="5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D48" i="4"/>
  <c r="I7" i="1"/>
  <c r="D49" i="4"/>
  <c r="M7" i="1" s="1"/>
  <c r="O121" i="4"/>
  <c r="C48" i="4"/>
  <c r="C49" i="4"/>
  <c r="M6" i="1" s="1"/>
  <c r="I6" i="1"/>
  <c r="C54" i="4"/>
  <c r="O96" i="4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P120" i="4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D52" i="4"/>
  <c r="Q7" i="1" s="1"/>
  <c r="F147" i="4"/>
  <c r="G147" i="4" s="1"/>
  <c r="K6" i="1"/>
  <c r="C52" i="4"/>
  <c r="Q6" i="1" s="1"/>
  <c r="P95" i="4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D48" i="3"/>
  <c r="D49" i="3"/>
  <c r="M5" i="1" s="1"/>
  <c r="I5" i="1"/>
  <c r="L120" i="3"/>
  <c r="K120" i="3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C48" i="3"/>
  <c r="C49" i="3"/>
  <c r="M4" i="1" s="1"/>
  <c r="I4" i="1"/>
  <c r="P120" i="3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D52" i="3"/>
  <c r="Q5" i="1" s="1"/>
  <c r="K4" i="1"/>
  <c r="F147" i="3"/>
  <c r="C52" i="3"/>
  <c r="Q4" i="1" s="1"/>
  <c r="P95" i="3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D48" i="5"/>
  <c r="D49" i="5"/>
  <c r="M9" i="1" s="1"/>
  <c r="I9" i="1"/>
  <c r="O120" i="5"/>
  <c r="D51" i="5"/>
  <c r="P9" i="1" s="1"/>
  <c r="D146" i="5"/>
  <c r="E146" i="5" s="1"/>
  <c r="F146" i="5" s="1"/>
  <c r="J96" i="5"/>
  <c r="L96" i="5" s="1"/>
  <c r="J98" i="5"/>
  <c r="L98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95" i="5"/>
  <c r="J97" i="5"/>
  <c r="L97" i="5" s="1"/>
  <c r="J99" i="5"/>
  <c r="L99" i="5" s="1"/>
  <c r="J130" i="4"/>
  <c r="L130" i="4" s="1"/>
  <c r="J131" i="4"/>
  <c r="L131" i="4" s="1"/>
  <c r="J134" i="4"/>
  <c r="L134" i="4" s="1"/>
  <c r="J138" i="4"/>
  <c r="L138" i="4" s="1"/>
  <c r="J121" i="4"/>
  <c r="L121" i="4" s="1"/>
  <c r="J122" i="4"/>
  <c r="L122" i="4" s="1"/>
  <c r="J125" i="4"/>
  <c r="L125" i="4" s="1"/>
  <c r="J128" i="4"/>
  <c r="L128" i="4" s="1"/>
  <c r="J132" i="4"/>
  <c r="L132" i="4" s="1"/>
  <c r="J137" i="4"/>
  <c r="L137" i="4" s="1"/>
  <c r="J96" i="4"/>
  <c r="L96" i="4" s="1"/>
  <c r="J105" i="4"/>
  <c r="L105" i="4" s="1"/>
  <c r="J113" i="4"/>
  <c r="L113" i="4" s="1"/>
  <c r="J102" i="4"/>
  <c r="L102" i="4" s="1"/>
  <c r="J114" i="4"/>
  <c r="L114" i="4" s="1"/>
  <c r="J112" i="4"/>
  <c r="L112" i="4" s="1"/>
  <c r="J95" i="4"/>
  <c r="J106" i="4"/>
  <c r="L106" i="4" s="1"/>
  <c r="J108" i="3"/>
  <c r="L108" i="3" s="1"/>
  <c r="J109" i="3"/>
  <c r="L109" i="3" s="1"/>
  <c r="J110" i="3"/>
  <c r="L110" i="3" s="1"/>
  <c r="J114" i="3"/>
  <c r="L114" i="3" s="1"/>
  <c r="D146" i="3"/>
  <c r="E146" i="3" s="1"/>
  <c r="F146" i="3" s="1"/>
  <c r="J95" i="3"/>
  <c r="J97" i="3"/>
  <c r="L97" i="3" s="1"/>
  <c r="J99" i="3"/>
  <c r="L99" i="3" s="1"/>
  <c r="J100" i="3"/>
  <c r="L100" i="3" s="1"/>
  <c r="J101" i="3"/>
  <c r="L101" i="3" s="1"/>
  <c r="J103" i="3"/>
  <c r="L103" i="3" s="1"/>
  <c r="J111" i="3"/>
  <c r="L111" i="3" s="1"/>
  <c r="J112" i="3"/>
  <c r="L112" i="3" s="1"/>
  <c r="J113" i="3"/>
  <c r="L113" i="3" s="1"/>
  <c r="K12" i="1"/>
  <c r="J133" i="5"/>
  <c r="L133" i="5" s="1"/>
  <c r="J134" i="5"/>
  <c r="L134" i="5" s="1"/>
  <c r="J135" i="5"/>
  <c r="L135" i="5" s="1"/>
  <c r="J136" i="5"/>
  <c r="L136" i="5" s="1"/>
  <c r="J137" i="5"/>
  <c r="L137" i="5" s="1"/>
  <c r="J138" i="5"/>
  <c r="L138" i="5" s="1"/>
  <c r="J139" i="5"/>
  <c r="L139" i="5" s="1"/>
  <c r="J120" i="5"/>
  <c r="J121" i="5"/>
  <c r="L121" i="5" s="1"/>
  <c r="J122" i="5"/>
  <c r="L122" i="5" s="1"/>
  <c r="J123" i="4"/>
  <c r="L123" i="4" s="1"/>
  <c r="J133" i="4"/>
  <c r="L133" i="4" s="1"/>
  <c r="J135" i="4"/>
  <c r="L135" i="4" s="1"/>
  <c r="J126" i="4"/>
  <c r="L126" i="4" s="1"/>
  <c r="J120" i="4"/>
  <c r="J124" i="4"/>
  <c r="L124" i="4" s="1"/>
  <c r="J127" i="4"/>
  <c r="L127" i="4" s="1"/>
  <c r="J129" i="4"/>
  <c r="L129" i="4" s="1"/>
  <c r="J136" i="4"/>
  <c r="L136" i="4" s="1"/>
  <c r="J139" i="4"/>
  <c r="L139" i="4" s="1"/>
  <c r="D146" i="4"/>
  <c r="E146" i="4" s="1"/>
  <c r="F146" i="4" s="1"/>
  <c r="J97" i="4"/>
  <c r="L97" i="4" s="1"/>
  <c r="J99" i="4"/>
  <c r="L99" i="4" s="1"/>
  <c r="J108" i="4"/>
  <c r="L108" i="4" s="1"/>
  <c r="J111" i="4"/>
  <c r="L111" i="4" s="1"/>
  <c r="J101" i="4"/>
  <c r="L101" i="4" s="1"/>
  <c r="J103" i="4"/>
  <c r="L103" i="4" s="1"/>
  <c r="J109" i="4"/>
  <c r="L109" i="4" s="1"/>
  <c r="J104" i="4"/>
  <c r="L104" i="4" s="1"/>
  <c r="J110" i="4"/>
  <c r="L110" i="4" s="1"/>
  <c r="J98" i="4"/>
  <c r="L98" i="4" s="1"/>
  <c r="J100" i="4"/>
  <c r="L100" i="4" s="1"/>
  <c r="J107" i="4"/>
  <c r="L107" i="4" s="1"/>
  <c r="G147" i="3" l="1"/>
  <c r="K11" i="1"/>
  <c r="C50" i="5"/>
  <c r="N8" i="1" s="1"/>
  <c r="L8" i="1"/>
  <c r="D50" i="4"/>
  <c r="N7" i="1" s="1"/>
  <c r="L7" i="1"/>
  <c r="C50" i="4"/>
  <c r="N6" i="1" s="1"/>
  <c r="L6" i="1"/>
  <c r="D50" i="3"/>
  <c r="N5" i="1" s="1"/>
  <c r="L5" i="1"/>
  <c r="C50" i="3"/>
  <c r="N4" i="1" s="1"/>
  <c r="L4" i="1"/>
  <c r="L11" i="1" s="1"/>
  <c r="D50" i="5"/>
  <c r="N9" i="1" s="1"/>
  <c r="L9" i="1"/>
  <c r="O121" i="5"/>
  <c r="O122" i="5" s="1"/>
  <c r="O123" i="5" s="1"/>
  <c r="O124" i="5" s="1"/>
  <c r="K95" i="5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C55" i="5"/>
  <c r="L95" i="5"/>
  <c r="K95" i="4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C55" i="4"/>
  <c r="L95" i="4"/>
  <c r="C55" i="3"/>
  <c r="K95" i="3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L95" i="3"/>
  <c r="D55" i="5"/>
  <c r="K120" i="5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L120" i="5"/>
  <c r="K120" i="4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D55" i="4"/>
  <c r="L120" i="4"/>
  <c r="I12" i="1"/>
  <c r="I11" i="1"/>
  <c r="O97" i="5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C54" i="5"/>
  <c r="O122" i="4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D54" i="4"/>
  <c r="O125" i="3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D54" i="3"/>
  <c r="O97" i="3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C54" i="3"/>
  <c r="L12" i="1" l="1"/>
  <c r="O125" i="5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D54" i="5"/>
</calcChain>
</file>

<file path=xl/sharedStrings.xml><?xml version="1.0" encoding="utf-8"?>
<sst xmlns="http://schemas.openxmlformats.org/spreadsheetml/2006/main" count="889" uniqueCount="225">
  <si>
    <t>GEPP — PROPUESTA PROPLASA (3 SITIOS: Preforma 1, Preforma 2, Tapa) | MXN sin IVA | jul-2026</t>
  </si>
  <si>
    <t>Sitio</t>
  </si>
  <si>
    <t>Opción / Esquema</t>
  </si>
  <si>
    <t>PV (kWp)</t>
  </si>
  <si>
    <t>BESS (kW)</t>
  </si>
  <si>
    <t>BESS (kWh)</t>
  </si>
  <si>
    <t>Gen (kWh/año)</t>
  </si>
  <si>
    <t>Gasto real hoy ($/año)</t>
  </si>
  <si>
    <t>Beneficio autoab. ($/año, →2032)</t>
  </si>
  <si>
    <t>Ahorro bruto ($)</t>
  </si>
  <si>
    <t>Pago PPA ($)</t>
  </si>
  <si>
    <t>Pago partic. ($)</t>
  </si>
  <si>
    <t>AHORRO NETO GEPP ($)</t>
  </si>
  <si>
    <t>% bruto</t>
  </si>
  <si>
    <t>% neto</t>
  </si>
  <si>
    <t>PPA (MXN/kWh)</t>
  </si>
  <si>
    <t>TIR PV</t>
  </si>
  <si>
    <t>TIR BESS @50%</t>
  </si>
  <si>
    <t>Proplasa · Preforma 1</t>
  </si>
  <si>
    <t>Op1: Autoconsumo</t>
  </si>
  <si>
    <t>Op2: GD Medición Neta</t>
  </si>
  <si>
    <t>Proplasa · Preforma 2</t>
  </si>
  <si>
    <t>Proplasa · Tapa</t>
  </si>
  <si>
    <t>PORTAFOLIO</t>
  </si>
  <si>
    <t>Suma Opción 1</t>
  </si>
  <si>
    <t>Suma Opción 2</t>
  </si>
  <si>
    <t>Nota: "Gasto real hoy" ya refleja el descuento de autoabasto; el "Beneficio autoab." (naranja) se pierde en 2032 → el gasto real del cliente salta en 2033 (ver proyección 20 años de cada sitio). Nuestro ahorro $ es el hedge.</t>
  </si>
  <si>
    <t>SUPUESTOS DEL MODELO — editar celdas amarillas (todo sin IVA)</t>
  </si>
  <si>
    <t>Tipo de cambio (MXN/USD)</t>
  </si>
  <si>
    <t>MXN/USD</t>
  </si>
  <si>
    <t>Precio de venta PV (USD/Wp)</t>
  </si>
  <si>
    <t>USD/Wp</t>
  </si>
  <si>
    <t>Costo duro PV — informativo (USD/Wp)</t>
  </si>
  <si>
    <t>Precio BESS instalado (USD/Wh)</t>
  </si>
  <si>
    <t>USD/Wh</t>
  </si>
  <si>
    <t>Costo FOB BESS — informativo (USD/Wh)</t>
  </si>
  <si>
    <t>Escalación tarifas CFE (anual)</t>
  </si>
  <si>
    <t>%</t>
  </si>
  <si>
    <t>Escalación precio PPA (anual)</t>
  </si>
  <si>
    <t>Degradación PV (anual)</t>
  </si>
  <si>
    <t>Degradación BESS (anual)</t>
  </si>
  <si>
    <t>Profundidad de descarga BESS (DoD)</t>
  </si>
  <si>
    <t>Eficiencia round-trip BESS (RTE)</t>
  </si>
  <si>
    <t>Factor de carga p/ umbral de demanda</t>
  </si>
  <si>
    <t>Meses sin ahorro BESS al año (merma de riesgo)</t>
  </si>
  <si>
    <t>meses</t>
  </si>
  <si>
    <t>Participación del inversionista en ahorro BESS</t>
  </si>
  <si>
    <t>Plazo PPA / venta de energía PV (años)</t>
  </si>
  <si>
    <t>años</t>
  </si>
  <si>
    <t>Plazo BESS / participación en ahorro (años)</t>
  </si>
  <si>
    <t>Horizonte de análisis (años)</t>
  </si>
  <si>
    <t>Tasa de descuento / WACC</t>
  </si>
  <si>
    <t>O&amp;M PV (MXN/kWp·año)</t>
  </si>
  <si>
    <t>MXN/kWp</t>
  </si>
  <si>
    <t>O&amp;M BESS (MXN/kWh·año)</t>
  </si>
  <si>
    <t>MXN/kWh</t>
  </si>
  <si>
    <t>Densidad de instalación (m²/kWp)</t>
  </si>
  <si>
    <t>m²/kWp</t>
  </si>
  <si>
    <t>Año base del modelo (Año 1)</t>
  </si>
  <si>
    <t>año</t>
  </si>
  <si>
    <t>Año de término autoabasto TALA / ENEL</t>
  </si>
  <si>
    <t>SITIOS — recurso solar y superficie</t>
  </si>
  <si>
    <t>Municipio</t>
  </si>
  <si>
    <t>Tarifa</t>
  </si>
  <si>
    <t>Yield (kWh/kWp·año)</t>
  </si>
  <si>
    <t>Superficie disp. (m²)</t>
  </si>
  <si>
    <t>Cuautitlán Izcalli, Méx.</t>
  </si>
  <si>
    <t>GDMTH (V. de México Norte)</t>
  </si>
  <si>
    <t>—</t>
  </si>
  <si>
    <t>SUPUESTOS Y NOTAS CLAVE</t>
  </si>
  <si>
    <t>• Baseline: últimos 12 meses reales may-25 → abr-26 (recibos CFE, sin IVA).</t>
  </si>
  <si>
    <t>• Autoabasto TALA (Ixtlahuacán, zafra) y ENEL (Proplasa) vencen 2032. Su beneficio actual se</t>
  </si>
  <si>
    <t xml:space="preserve">  cuantifica por sitio (fila "Beneficio autoabasto") y aparece en la proyección 20 años como la</t>
  </si>
  <si>
    <t xml:space="preserve">  brecha entre "Gasto CFE pleno" y "Gasto real"; esa brecha se cierra en 2033 → el gasto real del</t>
  </si>
  <si>
    <t xml:space="preserve">  cliente DA UN SALTO. El ahorro $ de nuestro sistema (PPA fijo) no cambia, por lo que cubre un %</t>
  </si>
  <si>
    <t xml:space="preserve">  menor de un recibo mayor, pero es justo el hedge que amortigua ese salto. Editar beneficio y año.</t>
  </si>
  <si>
    <t>• Plazo PPA y plazo BESS ahora son independientes (celdas B18/B19). Ej.: 12 años PPA + 20 de</t>
  </si>
  <si>
    <t xml:space="preserve">  participación en ahorro BESS. Tras el plazo PPA el ahorro PV queda 100% para GEPP (pago=0).</t>
  </si>
  <si>
    <t>• TIR nominal MXN, pre-IVA, sin apalancamiento, sobre precio de venta. PPA resuelto p/ TIR PV ~14%.</t>
  </si>
  <si>
    <t>• Marco legal: Ley del Sector Eléctrico (DOF 18-mar-2025). GD Exento &lt;0.7 MW sin permiso (Art. 30).</t>
  </si>
  <si>
    <t>• Módulo Tongwei TWMNF-66HD715 (715 Wp, η 23.0%). Densidad 4.0 m²/kWp.</t>
  </si>
  <si>
    <t>• Ahorros de demanda calibrados con simulación horaria al tamaño de diseño; escalan linealmente.</t>
  </si>
  <si>
    <t>GEPP Proplasa · Preforma 1 — Propuesta Solar + BESS   |   GDMTH (V. de México Norte)   |   Cuautitlán Izcalli, Méx.   (MXN sin IVA)</t>
  </si>
  <si>
    <t>1. DATOS BASE — últimos 12 meses reales (recibos CFE, sin IVA)</t>
  </si>
  <si>
    <t>Mes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</si>
  <si>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</si>
  <si>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</si>
  <si>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</si>
  <si>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</si>
  <si>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</si>
  <si>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</si>
  <si>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</si>
  <si>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</si>
  <si>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</si>
  <si>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</si>
  <si>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mar-26</t>
  </si>
  <si>
    <t>abr-26</t>
  </si>
  <si>
    <t>TOTAL</t>
  </si>
  <si>
    <t>Consumo Base (kWh)</t>
  </si>
  <si>
    <t>Consumo Intermedia (kWh)</t>
  </si>
  <si>
    <t>Consumo Punta (kWh)</t>
  </si>
  <si>
    <t>Consumo Total (kWh)</t>
  </si>
  <si>
    <t>Dem. máx. en punta (kW)</t>
  </si>
  <si>
    <t>Dem. máx. mensual (kW)</t>
  </si>
  <si>
    <t>Días con punta</t>
  </si>
  <si>
    <t>Horas punta/día</t>
  </si>
  <si>
    <t>Días del mes</t>
  </si>
  <si>
    <t>Tarifa Base ($/kWh)</t>
  </si>
  <si>
    <t>Tarifa Intermedia ($/kWh)</t>
  </si>
  <si>
    <t>Tarifa Punta ($/kWh)</t>
  </si>
  <si>
    <t>Tarifa Capacidad ($/kW·mes)</t>
  </si>
  <si>
    <t>Tarifa Distribución ($/kW·mes)</t>
  </si>
  <si>
    <t>Gasto actual facturado ($ MXN)</t>
  </si>
  <si>
    <t>Umbral de demanda (kW)</t>
  </si>
  <si>
    <t>Yield PV (kWh/kWp)</t>
  </si>
  <si>
    <t>2. SISTEMA PROPUESTO — Opción 1 y Opción 2  (amarillo = editable)</t>
  </si>
  <si>
    <t>Concepto</t>
  </si>
  <si>
    <t>OPCIÓN 1 — Autoconsumo</t>
  </si>
  <si>
    <t>OPCIÓN 2 — GD Medición Neta</t>
  </si>
  <si>
    <t>Esquema legal</t>
  </si>
  <si>
    <t>Autoconsumo interconectado (permiso CNE simplificado)</t>
  </si>
  <si>
    <t>Generación Distribuida &lt;0.7 MW (sin permiso)</t>
  </si>
  <si>
    <t>Potencia PV (kWp DC)</t>
  </si>
  <si>
    <t>Superficie requerida (m²)</t>
  </si>
  <si>
    <t>BESS potencia (kW)</t>
  </si>
  <si>
    <t>BESS capacidad (kWh)</t>
  </si>
  <si>
    <t>Energía útil BESS (kWh)</t>
  </si>
  <si>
    <t>Precio PPA (MXN/kWh, año 1)</t>
  </si>
  <si>
    <t>Participación inversionista BESS (%)</t>
  </si>
  <si>
    <t>CAPEX PV (USD)</t>
  </si>
  <si>
    <t>CAPEX PV (MXN)</t>
  </si>
  <si>
    <t>CAPEX BESS (USD)</t>
  </si>
  <si>
    <t>CAPEX BESS (MXN)</t>
  </si>
  <si>
    <t>— Autoabasto TALA / ENEL (vence 2032) —</t>
  </si>
  <si>
    <t>Beneficio autoabasto actual ($/año)</t>
  </si>
  <si>
    <t>Gasto sin autoabasto — CFE pleno ($/año)</t>
  </si>
  <si>
    <t>Gasto real hoy (con autoabasto) ($/año)</t>
  </si>
  <si>
    <t>Generación PV año 1 (kWh)</t>
  </si>
  <si>
    <t>Energía facturada al PPA (kWh)</t>
  </si>
  <si>
    <t>Ahorro bruto PV año 1 ($)</t>
  </si>
  <si>
    <t>Ahorro bruto BESS año 1 c/merma ($)</t>
  </si>
  <si>
    <t>Ahorro bruto total ($)</t>
  </si>
  <si>
    <t>Pago PPA año 1 ($)</t>
  </si>
  <si>
    <t>Pago participación BESS ($)</t>
  </si>
  <si>
    <t>AHORRO NETO GEPP año 1 ($)</t>
  </si>
  <si>
    <t>% ahorro bruto (vs gasto real hoy)</t>
  </si>
  <si>
    <t>% ahorro neto (vs gasto real hoy)</t>
  </si>
  <si>
    <t>TIR inversionista PV</t>
  </si>
  <si>
    <t>TIR inversionista BESS</t>
  </si>
  <si>
    <t>Participación req. p/ TIR BESS 16%</t>
  </si>
  <si>
    <t>Payback simple inversionista PV (años)</t>
  </si>
  <si>
    <t>VAN GEPP del ahorro neto 20a (@WACC)</t>
  </si>
  <si>
    <t>3. MODELO MENSUAL AÑO 1 — OPCIÓN 1 — Autoconsumo  (vertical)</t>
  </si>
  <si>
    <t>Gen PV (kWh)</t>
  </si>
  <si>
    <t>%Base</t>
  </si>
  <si>
    <t>%Int</t>
  </si>
  <si>
    <t>%Punta</t>
  </si>
  <si>
    <t>PV→Base</t>
  </si>
  <si>
    <t>PV→Int</t>
  </si>
  <si>
    <t>PV→Punta</t>
  </si>
  <si>
    <t>Ahorro energía PV $</t>
  </si>
  <si>
    <t>Energía PPA (kWh)</t>
  </si>
  <si>
    <t>Ahorro PV total $</t>
  </si>
  <si>
    <t>BESS despl. punta kWh</t>
  </si>
  <si>
    <t>Costo carga base $</t>
  </si>
  <si>
    <t>Ahorro arbitraje $</t>
  </si>
  <si>
    <t>Ahorro BESS bruto $</t>
  </si>
  <si>
    <t>4. MODELO MENSUAL AÑO 1 — OPCIÓN 2 — GD Medición Neta  (vertical)</t>
  </si>
  <si>
    <t>5. PROYECCIÓN 20 AÑOS — OPCIÓN 1 — Autoconsumo  (vertical, con cliff autoabasto 2032)</t>
  </si>
  <si>
    <t>Año</t>
  </si>
  <si>
    <t>Gasto CFE pleno $</t>
  </si>
  <si>
    <t>Beneficio autoabasto $</t>
  </si>
  <si>
    <t>Gasto real sin sistema $</t>
  </si>
  <si>
    <t>Ahorro PV $</t>
  </si>
  <si>
    <t>Ahorro BESS $</t>
  </si>
  <si>
    <t>Pago PPA $</t>
  </si>
  <si>
    <t>Pago particip. BESS $</t>
  </si>
  <si>
    <t>Ahorro neto GEPP $</t>
  </si>
  <si>
    <t>Acumulado GEPP $</t>
  </si>
  <si>
    <t>% ahorro</t>
  </si>
  <si>
    <t>Flujo inv. PV $</t>
  </si>
  <si>
    <t>Flujo inv. BESS $</t>
  </si>
  <si>
    <t>Flujo inv. PV acum $</t>
  </si>
  <si>
    <t>Flujo inv. BESS acum $</t>
  </si>
  <si>
    <t>Año 0</t>
  </si>
  <si>
    <t>6. PROYECCIÓN 20 AÑOS — OPCIÓN 2 — GD Medición Neta  (vertical, con cliff autoabasto 2032)</t>
  </si>
  <si>
    <t>7. CASCADA DE AHORRO AÑO 1 — Opción 1 (datos de gráfica)</t>
  </si>
  <si>
    <t>Gasto real hoy</t>
  </si>
  <si>
    <t>Ahorro PV</t>
  </si>
  <si>
    <t>Ahorro BESS</t>
  </si>
  <si>
    <t>Pago PPA</t>
  </si>
  <si>
    <t>Pago particip.</t>
  </si>
  <si>
    <t>Gasto final + pagos</t>
  </si>
  <si>
    <t>Base invisible</t>
  </si>
  <si>
    <t>Valor</t>
  </si>
  <si>
    <t>Hora</t>
  </si>
  <si>
    <t>Periodo</t>
  </si>
  <si>
    <t>Carga Cliente (kW)</t>
  </si>
  <si>
    <t>Generación PV (kW)</t>
  </si>
  <si>
    <t>Carga tras PV (kW)</t>
  </si>
  <si>
    <t>BESS carga (kW, −)</t>
  </si>
  <si>
    <t>BESS descarga (kW)</t>
  </si>
  <si>
    <t>Carga NETA PV+BESS (kW)</t>
  </si>
  <si>
    <t>Base</t>
  </si>
  <si>
    <t>Intermedia</t>
  </si>
  <si>
    <t>Punta</t>
  </si>
  <si>
    <t>GEPP Proplasa · Preforma 2 — Propuesta Solar + BESS   |   GDMTH (V. de México Norte)   |   Cuautitlán Izcalli, Méx.   (MXN sin IVA)</t>
  </si>
  <si>
    <t>GEPP Proplasa · Tapa — Propuesta Solar + BESS   |   GDMTH (V. de México Norte)   |   Cuautitlán Izcalli, Méx.   (MXN sin IVA)</t>
  </si>
  <si>
    <t>8. DESPACHO DÍA TÍPICO — INVIERNO (punta 18–22h, 4h) — Opción 1 — Autoconsumo   (perfil sintético; rasurado plano — kW)</t>
  </si>
  <si>
    <t>Lectura de demanda facturable en PUNTA — Invierno (del despacho de arriba)</t>
  </si>
  <si>
    <t xml:space="preserve">   Pico de demanda en punta ANTES del BESS (kW)</t>
  </si>
  <si>
    <t xml:space="preserve">   Energía útil del BESS disponible (kWh)</t>
  </si>
  <si>
    <t xml:space="preserve">   Nivel de rasurado plano — objetivo (kW)</t>
  </si>
  <si>
    <t xml:space="preserve">   Pico de demanda en punta DESPUÉS del BESS (kW)</t>
  </si>
  <si>
    <t xml:space="preserve">   Reducción de demanda facturable en punta (kW)</t>
  </si>
  <si>
    <t xml:space="preserve">   Ahorro de capacidad de un mes-tipo invernal ($)</t>
  </si>
  <si>
    <t>El modelo mensual (columna Q) aplica este mismo rasurado plano a la Dmáx real de cada mes; por eso el ahorro de capacidad no depende de rasurar una sola hora.</t>
  </si>
  <si>
    <t>9. DESPACHO DÍA TÍPICO — VERANO (punta 20–22h, 2h) — Opción 1 — Autoconsumo   (perfil sintético; rasurado plano — kW)</t>
  </si>
  <si>
    <t>Lectura de demanda facturable en PUNTA — Verano (del despacho de arriba)</t>
  </si>
  <si>
    <t>Nota: en verano la punta es de 2h (20–22h) → el BESS de 2h la cubre casi por completo (rasurado ≈ pico). En invierno la punta es 4h y el rasurado es parcial.</t>
  </si>
  <si>
    <t>Ahorro distrib/umbral $ (motor)</t>
  </si>
  <si>
    <t>Ahorro capacidad $ (motor)</t>
  </si>
  <si>
    <t>Reducción dem. punta (kW)</t>
  </si>
  <si>
    <t>Dem. punta después (kW)</t>
  </si>
  <si>
    <t>Q (Ahorro capacidad → flujo BESS) y L (Ahorro distrib/umbral → flujo PV) provienen de la simulación horaria al tamaño de diseño (memoria MC-GEPP-4SITIOS-2026-07 §4); escalan con MIN(1, E_útil/E_diseño). El rasurado que los sustenta se ilustra abajo (Despacho día típico, rasurado plano). Columnas S–T: demanda de punta facturable resultante mes a mes (Reducción = Q ÷ tarifa capacidad; Después = Dmáx punta − Reducción).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</si>
</sst>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"/>
    <numFmt numFmtId="167" formatCode="#,##0.0000"/>
    <numFmt numFmtId="168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FF6C7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/>
    <xf numFmtId="3" fontId="0" fillId="0" borderId="0" xfId="0" applyNumberFormat="1"/>
    <xf numFmtId="3" fontId="0" fillId="5" borderId="0" xfId="0" applyNumberFormat="1" applyFill="1"/>
    <xf numFmtId="3" fontId="2" fillId="6" borderId="0" xfId="0" applyNumberFormat="1" applyFont="1" applyFill="1"/>
    <xf numFmtId="165" fontId="0" fillId="0" borderId="0" xfId="0" applyNumberFormat="1"/>
    <xf numFmtId="167" fontId="0" fillId="0" borderId="0" xfId="0" applyNumberFormat="1"/>
    <xf numFmtId="3" fontId="2" fillId="0" borderId="0" xfId="0" applyNumberFormat="1" applyFont="1"/>
    <xf numFmtId="4" fontId="0" fillId="3" borderId="1" xfId="0" applyNumberForma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2" fontId="0" fillId="3" borderId="1" xfId="0" applyNumberFormat="1" applyFill="1" applyBorder="1"/>
    <xf numFmtId="1" fontId="0" fillId="3" borderId="1" xfId="0" applyNumberFormat="1" applyFill="1" applyBorder="1"/>
    <xf numFmtId="3" fontId="0" fillId="3" borderId="1" xfId="0" applyNumberFormat="1" applyFill="1" applyBorder="1"/>
    <xf numFmtId="166" fontId="0" fillId="3" borderId="1" xfId="0" applyNumberFormat="1" applyFill="1" applyBorder="1"/>
    <xf numFmtId="0" fontId="2" fillId="4" borderId="0" xfId="0" applyFont="1" applyFill="1"/>
    <xf numFmtId="1" fontId="0" fillId="0" borderId="0" xfId="0" applyNumberFormat="1"/>
    <xf numFmtId="2" fontId="0" fillId="0" borderId="0" xfId="0" applyNumberFormat="1"/>
    <xf numFmtId="4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3" fontId="0" fillId="3" borderId="0" xfId="0" applyNumberFormat="1" applyFill="1"/>
    <xf numFmtId="167" fontId="0" fillId="3" borderId="0" xfId="0" applyNumberFormat="1" applyFill="1"/>
    <xf numFmtId="0" fontId="2" fillId="5" borderId="0" xfId="0" applyFont="1" applyFill="1"/>
    <xf numFmtId="0" fontId="0" fillId="5" borderId="0" xfId="0" applyFill="1"/>
    <xf numFmtId="0" fontId="3" fillId="0" borderId="0" xfId="0" applyFont="1"/>
    <xf numFmtId="0" fontId="4" fillId="0" borderId="0" xfId="0" applyFont="1"/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Preforma 1 — Despacho día típico — INVIERNO (punta 4h) PV+BESS (Opción 1 — Autoconsumo)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'Preforma 1'!$F$151</c:f>
              <c:strCache>
                <c:ptCount val="1"/>
                <c:pt idx="0">
                  <c:v>BESS carga (kW, −)</c:v>
                </c:pt>
              </c:strCache>
            </c:strRef>
          </c:tx>
          <c:spPr>
            <a:solidFill>
              <a:srgbClr val="2E9BD6"/>
            </a:solidFill>
            <a:ln>
              <a:solidFill>
                <a:srgbClr val="2E9BD6"/>
              </a:solidFill>
              <a:prstDash val="solid"/>
            </a:ln>
          </c:spPr>
          <c:invertIfNegative val="1"/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1'!$F$152:$F$175</c:f>
              <c:numCache>
                <c:formatCode>#,##0</c:formatCode>
                <c:ptCount val="24"/>
                <c:pt idx="0">
                  <c:v>-679.2</c:v>
                </c:pt>
                <c:pt idx="1">
                  <c:v>-679.2</c:v>
                </c:pt>
                <c:pt idx="2">
                  <c:v>-679.2</c:v>
                </c:pt>
                <c:pt idx="3">
                  <c:v>-679.2</c:v>
                </c:pt>
                <c:pt idx="4">
                  <c:v>-679.2</c:v>
                </c:pt>
                <c:pt idx="5">
                  <c:v>-679.2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9B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CA-410F-BAA5-5B2E536651F3}"/>
            </c:ext>
          </c:extLst>
        </c:ser>
        <c:ser>
          <c:idx val="1"/>
          <c:order val="1"/>
          <c:tx>
            <c:strRef>
              <c:f>'Preforma 1'!$G$151</c:f>
              <c:strCache>
                <c:ptCount val="1"/>
                <c:pt idx="0">
                  <c:v>BESS descarga (kW)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1'!$G$152:$G$175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963.81807266258284</c:v>
                </c:pt>
                <c:pt idx="19">
                  <c:v>1048.4180726625827</c:v>
                </c:pt>
                <c:pt idx="20">
                  <c:v>1012.6180726625828</c:v>
                </c:pt>
                <c:pt idx="21">
                  <c:v>887.11807266258279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CA-410F-BAA5-5B2E53665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'Preforma 1'!$C$151</c:f>
              <c:strCache>
                <c:ptCount val="1"/>
                <c:pt idx="0">
                  <c:v>Carga Cliente (kW)</c:v>
                </c:pt>
              </c:strCache>
            </c:strRef>
          </c:tx>
          <c:spPr>
            <a:ln w="1905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1'!$C$152:$C$175</c:f>
              <c:numCache>
                <c:formatCode>#,##0</c:formatCode>
                <c:ptCount val="24"/>
                <c:pt idx="0">
                  <c:v>1524.1</c:v>
                </c:pt>
                <c:pt idx="1">
                  <c:v>1524.1</c:v>
                </c:pt>
                <c:pt idx="2">
                  <c:v>1524.1</c:v>
                </c:pt>
                <c:pt idx="3">
                  <c:v>1542</c:v>
                </c:pt>
                <c:pt idx="4">
                  <c:v>1577.9</c:v>
                </c:pt>
                <c:pt idx="5">
                  <c:v>1649.6</c:v>
                </c:pt>
                <c:pt idx="6">
                  <c:v>1757.2</c:v>
                </c:pt>
                <c:pt idx="7">
                  <c:v>1882.7</c:v>
                </c:pt>
                <c:pt idx="8">
                  <c:v>2008.2</c:v>
                </c:pt>
                <c:pt idx="9">
                  <c:v>2062</c:v>
                </c:pt>
                <c:pt idx="10">
                  <c:v>2079.9</c:v>
                </c:pt>
                <c:pt idx="11">
                  <c:v>2079.9</c:v>
                </c:pt>
                <c:pt idx="12">
                  <c:v>2079.9</c:v>
                </c:pt>
                <c:pt idx="13">
                  <c:v>2062</c:v>
                </c:pt>
                <c:pt idx="14">
                  <c:v>2044</c:v>
                </c:pt>
                <c:pt idx="15">
                  <c:v>2026.1</c:v>
                </c:pt>
                <c:pt idx="16">
                  <c:v>2008.2</c:v>
                </c:pt>
                <c:pt idx="17">
                  <c:v>1972.3</c:v>
                </c:pt>
                <c:pt idx="18">
                  <c:v>2008.2</c:v>
                </c:pt>
                <c:pt idx="19">
                  <c:v>2044</c:v>
                </c:pt>
                <c:pt idx="20">
                  <c:v>2008.2</c:v>
                </c:pt>
                <c:pt idx="21">
                  <c:v>1882.7</c:v>
                </c:pt>
                <c:pt idx="22">
                  <c:v>1703.4</c:v>
                </c:pt>
                <c:pt idx="23">
                  <c:v>1577.9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CA-410F-BAA5-5B2E536651F3}"/>
            </c:ext>
          </c:extLst>
        </c:ser>
        <c:ser>
          <c:idx val="3"/>
          <c:order val="3"/>
          <c:tx>
            <c:strRef>
              <c:f>'Preforma 1'!$D$151</c:f>
              <c:strCache>
                <c:ptCount val="1"/>
                <c:pt idx="0">
                  <c:v>Generación PV (kW)</c:v>
                </c:pt>
              </c:strCache>
            </c:strRef>
          </c:tx>
          <c:spPr>
            <a:ln w="190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1'!$D$152:$D$175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96.8</c:v>
                </c:pt>
                <c:pt idx="8">
                  <c:v>187.6</c:v>
                </c:pt>
                <c:pt idx="9">
                  <c:v>266.5</c:v>
                </c:pt>
                <c:pt idx="10">
                  <c:v>328.7</c:v>
                </c:pt>
                <c:pt idx="11">
                  <c:v>370.3</c:v>
                </c:pt>
                <c:pt idx="12">
                  <c:v>388.6</c:v>
                </c:pt>
                <c:pt idx="13">
                  <c:v>382.5</c:v>
                </c:pt>
                <c:pt idx="14">
                  <c:v>352.3</c:v>
                </c:pt>
                <c:pt idx="15">
                  <c:v>300</c:v>
                </c:pt>
                <c:pt idx="16">
                  <c:v>228.9</c:v>
                </c:pt>
                <c:pt idx="17">
                  <c:v>143.30000000000001</c:v>
                </c:pt>
                <c:pt idx="18">
                  <c:v>48.8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CA-410F-BAA5-5B2E536651F3}"/>
            </c:ext>
          </c:extLst>
        </c:ser>
        <c:ser>
          <c:idx val="4"/>
          <c:order val="4"/>
          <c:tx>
            <c:strRef>
              <c:f>'Preforma 1'!$H$151</c:f>
              <c:strCache>
                <c:ptCount val="1"/>
                <c:pt idx="0">
                  <c:v>Carga NETA PV+BESS (kW)</c:v>
                </c:pt>
              </c:strCache>
            </c:strRef>
          </c:tx>
          <c:spPr>
            <a:ln w="34925">
              <a:solidFill>
                <a:srgbClr val="1F7A1F"/>
              </a:solidFill>
              <a:prstDash val="solid"/>
            </a:ln>
          </c:spPr>
          <c:marker>
            <c:symbol val="none"/>
          </c:marker>
          <c:cat>
            <c:numRef>
              <c:f>'Preforma 1'!$A$152:$A$175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1'!$H$152:$H$175</c:f>
              <c:numCache>
                <c:formatCode>#,##0</c:formatCode>
                <c:ptCount val="24"/>
                <c:pt idx="0">
                  <c:v>2203.3000000000002</c:v>
                </c:pt>
                <c:pt idx="1">
                  <c:v>2203.3000000000002</c:v>
                </c:pt>
                <c:pt idx="2">
                  <c:v>2203.3000000000002</c:v>
                </c:pt>
                <c:pt idx="3">
                  <c:v>2221.1999999999998</c:v>
                </c:pt>
                <c:pt idx="4">
                  <c:v>2257.1000000000004</c:v>
                </c:pt>
                <c:pt idx="5">
                  <c:v>2328.8000000000002</c:v>
                </c:pt>
                <c:pt idx="6">
                  <c:v>1757.2</c:v>
                </c:pt>
                <c:pt idx="7">
                  <c:v>1785.9</c:v>
                </c:pt>
                <c:pt idx="8">
                  <c:v>1820.6000000000001</c:v>
                </c:pt>
                <c:pt idx="9">
                  <c:v>1795.5</c:v>
                </c:pt>
                <c:pt idx="10">
                  <c:v>1751.2</c:v>
                </c:pt>
                <c:pt idx="11">
                  <c:v>1709.6000000000001</c:v>
                </c:pt>
                <c:pt idx="12">
                  <c:v>1691.3000000000002</c:v>
                </c:pt>
                <c:pt idx="13">
                  <c:v>1679.5</c:v>
                </c:pt>
                <c:pt idx="14">
                  <c:v>1691.7</c:v>
                </c:pt>
                <c:pt idx="15">
                  <c:v>1726.1</c:v>
                </c:pt>
                <c:pt idx="16">
                  <c:v>1779.3</c:v>
                </c:pt>
                <c:pt idx="17">
                  <c:v>1829</c:v>
                </c:pt>
                <c:pt idx="18">
                  <c:v>995.58192733741726</c:v>
                </c:pt>
                <c:pt idx="19">
                  <c:v>995.58192733741726</c:v>
                </c:pt>
                <c:pt idx="20">
                  <c:v>995.58192733741726</c:v>
                </c:pt>
                <c:pt idx="21">
                  <c:v>995.58192733741726</c:v>
                </c:pt>
                <c:pt idx="22">
                  <c:v>1703.4</c:v>
                </c:pt>
                <c:pt idx="23">
                  <c:v>1577.9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CA-410F-BAA5-5B2E53665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 del día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kW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Preforma 1 — Autoabasto: la banda naranja (beneficio) se pierde en 2032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Gasto real sin sistema</c:v>
          </c:tx>
          <c:spPr>
            <a:solidFill>
              <a:srgbClr val="8FAADC"/>
            </a:solidFill>
            <a:ln>
              <a:prstDash val="solid"/>
            </a:ln>
          </c:spPr>
          <c:cat>
            <c:numRef>
              <c:f>'Preforma 1'!$B$95:$B$114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'Preforma 1'!$E$95:$E$114</c:f>
              <c:numCache>
                <c:formatCode>#,##0</c:formatCode>
                <c:ptCount val="20"/>
                <c:pt idx="0">
                  <c:v>32178329.209299996</c:v>
                </c:pt>
                <c:pt idx="1">
                  <c:v>34109028.961857997</c:v>
                </c:pt>
                <c:pt idx="2">
                  <c:v>36155570.699569486</c:v>
                </c:pt>
                <c:pt idx="3">
                  <c:v>38324904.941543654</c:v>
                </c:pt>
                <c:pt idx="4">
                  <c:v>40624399.238036275</c:v>
                </c:pt>
                <c:pt idx="5">
                  <c:v>43061863.192318462</c:v>
                </c:pt>
                <c:pt idx="6">
                  <c:v>45645574.983857572</c:v>
                </c:pt>
                <c:pt idx="7">
                  <c:v>60242029.287240915</c:v>
                </c:pt>
                <c:pt idx="8">
                  <c:v>63856551.044475362</c:v>
                </c:pt>
                <c:pt idx="9">
                  <c:v>67687944.107143879</c:v>
                </c:pt>
                <c:pt idx="10">
                  <c:v>71749220.753572524</c:v>
                </c:pt>
                <c:pt idx="11">
                  <c:v>76054173.998786882</c:v>
                </c:pt>
                <c:pt idx="12">
                  <c:v>80617424.438714102</c:v>
                </c:pt>
                <c:pt idx="13">
                  <c:v>85454469.905036956</c:v>
                </c:pt>
                <c:pt idx="14">
                  <c:v>90581738.099339172</c:v>
                </c:pt>
                <c:pt idx="15">
                  <c:v>96016642.385299549</c:v>
                </c:pt>
                <c:pt idx="16">
                  <c:v>101777640.92841749</c:v>
                </c:pt>
                <c:pt idx="17">
                  <c:v>107884299.38412255</c:v>
                </c:pt>
                <c:pt idx="18">
                  <c:v>114357357.34716991</c:v>
                </c:pt>
                <c:pt idx="19">
                  <c:v>121218798.78800012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4-4D30-8D8F-4AF66F99889F}"/>
            </c:ext>
          </c:extLst>
        </c:ser>
        <c:ser>
          <c:idx val="1"/>
          <c:order val="1"/>
          <c:tx>
            <c:v>Beneficio autoabasto (TALA/ENEL)</c:v>
          </c:tx>
          <c:spPr>
            <a:solidFill>
              <a:srgbClr val="ED7D31"/>
            </a:solidFill>
            <a:ln>
              <a:prstDash val="solid"/>
            </a:ln>
          </c:spPr>
          <c:cat>
            <c:numRef>
              <c:f>'Preforma 1'!$B$95:$B$114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'Preforma 1'!$D$95:$D$114</c:f>
              <c:numCache>
                <c:formatCode>#,##0</c:formatCode>
                <c:ptCount val="20"/>
                <c:pt idx="0">
                  <c:v>7886060.9072246766</c:v>
                </c:pt>
                <c:pt idx="1">
                  <c:v>8359224.561658158</c:v>
                </c:pt>
                <c:pt idx="2">
                  <c:v>8860778.0353576485</c:v>
                </c:pt>
                <c:pt idx="3">
                  <c:v>9392424.7174791079</c:v>
                </c:pt>
                <c:pt idx="4">
                  <c:v>9955970.2005278543</c:v>
                </c:pt>
                <c:pt idx="5">
                  <c:v>10553328.412559526</c:v>
                </c:pt>
                <c:pt idx="6">
                  <c:v>11186528.117313098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4-4D30-8D8F-4AF66F99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Año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MXN/año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Preforma 1 — Despacho VERANO (punta 2h): rasurado plano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Carga tras PV (kW)</c:v>
          </c:tx>
          <c:marker>
            <c:symbol val="none"/>
          </c:marker>
          <c:cat>
            <c:numRef>
              <c:f>'Preforma 1'!$A$188:$A$211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1'!$E$188:$E$211</c:f>
              <c:numCache>
                <c:formatCode>General</c:formatCode>
                <c:ptCount val="24"/>
                <c:pt idx="0">
                  <c:v>1524.1</c:v>
                </c:pt>
                <c:pt idx="1">
                  <c:v>1524.1</c:v>
                </c:pt>
                <c:pt idx="2">
                  <c:v>1524.1</c:v>
                </c:pt>
                <c:pt idx="3">
                  <c:v>1542</c:v>
                </c:pt>
                <c:pt idx="4">
                  <c:v>1577.9</c:v>
                </c:pt>
                <c:pt idx="5">
                  <c:v>1649.6</c:v>
                </c:pt>
                <c:pt idx="6">
                  <c:v>1757.2</c:v>
                </c:pt>
                <c:pt idx="7">
                  <c:v>1785.9</c:v>
                </c:pt>
                <c:pt idx="8">
                  <c:v>1820.6000000000001</c:v>
                </c:pt>
                <c:pt idx="9">
                  <c:v>1795.5</c:v>
                </c:pt>
                <c:pt idx="10">
                  <c:v>1751.2</c:v>
                </c:pt>
                <c:pt idx="11">
                  <c:v>1709.6000000000001</c:v>
                </c:pt>
                <c:pt idx="12">
                  <c:v>1691.3000000000002</c:v>
                </c:pt>
                <c:pt idx="13">
                  <c:v>1679.5</c:v>
                </c:pt>
                <c:pt idx="14">
                  <c:v>1691.7</c:v>
                </c:pt>
                <c:pt idx="15">
                  <c:v>1726.1</c:v>
                </c:pt>
                <c:pt idx="16">
                  <c:v>1779.3</c:v>
                </c:pt>
                <c:pt idx="17">
                  <c:v>1829</c:v>
                </c:pt>
                <c:pt idx="18">
                  <c:v>1959.4</c:v>
                </c:pt>
                <c:pt idx="19">
                  <c:v>2044</c:v>
                </c:pt>
                <c:pt idx="20">
                  <c:v>2008.2</c:v>
                </c:pt>
                <c:pt idx="21">
                  <c:v>1882.7</c:v>
                </c:pt>
                <c:pt idx="22">
                  <c:v>1703.4</c:v>
                </c:pt>
                <c:pt idx="23">
                  <c:v>1577.9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9-46CD-BBAE-51B0992171DD}"/>
            </c:ext>
          </c:extLst>
        </c:ser>
        <c:ser>
          <c:idx val="1"/>
          <c:order val="1"/>
          <c:tx>
            <c:v>Carga NETA PV+BESS (kW)</c:v>
          </c:tx>
          <c:marker>
            <c:symbol val="none"/>
          </c:marker>
          <c:val>
            <c:numRef>
              <c:f>'Preforma 1'!$H$188:$H$211</c:f>
              <c:numCache>
                <c:formatCode>General</c:formatCode>
                <c:ptCount val="24"/>
                <c:pt idx="0">
                  <c:v>2203.3000000000002</c:v>
                </c:pt>
                <c:pt idx="1">
                  <c:v>2203.3000000000002</c:v>
                </c:pt>
                <c:pt idx="2">
                  <c:v>2203.3000000000002</c:v>
                </c:pt>
                <c:pt idx="3">
                  <c:v>2221.1999999999998</c:v>
                </c:pt>
                <c:pt idx="4">
                  <c:v>2257.1000000000004</c:v>
                </c:pt>
                <c:pt idx="5">
                  <c:v>2328.8000000000002</c:v>
                </c:pt>
                <c:pt idx="6">
                  <c:v>1757.2</c:v>
                </c:pt>
                <c:pt idx="7">
                  <c:v>1785.9</c:v>
                </c:pt>
                <c:pt idx="8">
                  <c:v>1820.6000000000001</c:v>
                </c:pt>
                <c:pt idx="9">
                  <c:v>1795.5</c:v>
                </c:pt>
                <c:pt idx="10">
                  <c:v>1751.2</c:v>
                </c:pt>
                <c:pt idx="11">
                  <c:v>1709.6000000000001</c:v>
                </c:pt>
                <c:pt idx="12">
                  <c:v>1691.3000000000002</c:v>
                </c:pt>
                <c:pt idx="13">
                  <c:v>1679.5</c:v>
                </c:pt>
                <c:pt idx="14">
                  <c:v>1691.7</c:v>
                </c:pt>
                <c:pt idx="15">
                  <c:v>1726.1</c:v>
                </c:pt>
                <c:pt idx="16">
                  <c:v>1779.3</c:v>
                </c:pt>
                <c:pt idx="17">
                  <c:v>1829</c:v>
                </c:pt>
                <c:pt idx="18">
                  <c:v>1959.4</c:v>
                </c:pt>
                <c:pt idx="19">
                  <c:v>2044</c:v>
                </c:pt>
                <c:pt idx="20" formatCode="#,##0">
                  <c:v>0</c:v>
                </c:pt>
                <c:pt idx="21" formatCode="#,##0">
                  <c:v>0</c:v>
                </c:pt>
                <c:pt idx="22">
                  <c:v>1703.4</c:v>
                </c:pt>
                <c:pt idx="23">
                  <c:v>1577.9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A9-46CD-BBAE-51B099217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37312"/>
        <c:axId val="1582832"/>
      </c:lineChart>
      <c:catAx>
        <c:axId val="11113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82832"/>
        <c:crosses val="autoZero"/>
        <c:auto val="1"/>
        <c:lblAlgn val="ctr"/>
        <c:lblOffset val="100"/>
        <c:noMultiLvlLbl val="0"/>
      </c:catAx>
      <c:valAx>
        <c:axId val="158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13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Preforma 2 — Despacho día típico — INVIERNO (punta 4h) PV+BESS (Opción 1 — Autoconsumo)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'Preforma 2'!$F$151</c:f>
              <c:strCache>
                <c:ptCount val="1"/>
                <c:pt idx="0">
                  <c:v>BESS carga (kW, −)</c:v>
                </c:pt>
              </c:strCache>
            </c:strRef>
          </c:tx>
          <c:spPr>
            <a:solidFill>
              <a:srgbClr val="2E9BD6"/>
            </a:solidFill>
            <a:ln>
              <a:solidFill>
                <a:srgbClr val="2E9BD6"/>
              </a:solidFill>
              <a:prstDash val="solid"/>
            </a:ln>
          </c:spPr>
          <c:invertIfNegative val="1"/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2'!$F$152:$F$175</c:f>
              <c:numCache>
                <c:formatCode>#,##0</c:formatCode>
                <c:ptCount val="24"/>
                <c:pt idx="0">
                  <c:v>-1906.4</c:v>
                </c:pt>
                <c:pt idx="1">
                  <c:v>-1906.4</c:v>
                </c:pt>
                <c:pt idx="2">
                  <c:v>-1906.4</c:v>
                </c:pt>
                <c:pt idx="3">
                  <c:v>-1906.4</c:v>
                </c:pt>
                <c:pt idx="4">
                  <c:v>-1906.4</c:v>
                </c:pt>
                <c:pt idx="5">
                  <c:v>-1906.4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9B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86-401E-BD69-83EFB773A515}"/>
            </c:ext>
          </c:extLst>
        </c:ser>
        <c:ser>
          <c:idx val="1"/>
          <c:order val="1"/>
          <c:tx>
            <c:strRef>
              <c:f>'Preforma 2'!$G$151</c:f>
              <c:strCache>
                <c:ptCount val="1"/>
                <c:pt idx="0">
                  <c:v>BESS descarga (kW)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2'!$G$152:$G$175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2705.3029526960781</c:v>
                </c:pt>
                <c:pt idx="19">
                  <c:v>2943.0029526960789</c:v>
                </c:pt>
                <c:pt idx="20">
                  <c:v>2842.3029526960781</c:v>
                </c:pt>
                <c:pt idx="21">
                  <c:v>2490.0029526960789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86-401E-BD69-83EFB773A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'Preforma 2'!$C$151</c:f>
              <c:strCache>
                <c:ptCount val="1"/>
                <c:pt idx="0">
                  <c:v>Carga Cliente (kW)</c:v>
                </c:pt>
              </c:strCache>
            </c:strRef>
          </c:tx>
          <c:spPr>
            <a:ln w="1905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2'!$C$152:$C$175</c:f>
              <c:numCache>
                <c:formatCode>#,##0</c:formatCode>
                <c:ptCount val="24"/>
                <c:pt idx="0">
                  <c:v>4277.6000000000004</c:v>
                </c:pt>
                <c:pt idx="1">
                  <c:v>4277.6000000000004</c:v>
                </c:pt>
                <c:pt idx="2">
                  <c:v>4277.6000000000004</c:v>
                </c:pt>
                <c:pt idx="3">
                  <c:v>4328</c:v>
                </c:pt>
                <c:pt idx="4">
                  <c:v>4428.6000000000004</c:v>
                </c:pt>
                <c:pt idx="5">
                  <c:v>4629.8999999999996</c:v>
                </c:pt>
                <c:pt idx="6">
                  <c:v>4931.8999999999996</c:v>
                </c:pt>
                <c:pt idx="7">
                  <c:v>5284.1</c:v>
                </c:pt>
                <c:pt idx="8">
                  <c:v>5636.4</c:v>
                </c:pt>
                <c:pt idx="9">
                  <c:v>5787.4</c:v>
                </c:pt>
                <c:pt idx="10">
                  <c:v>5837.7</c:v>
                </c:pt>
                <c:pt idx="11">
                  <c:v>5837.7</c:v>
                </c:pt>
                <c:pt idx="12">
                  <c:v>5837.7</c:v>
                </c:pt>
                <c:pt idx="13">
                  <c:v>5787.4</c:v>
                </c:pt>
                <c:pt idx="14">
                  <c:v>5737.1</c:v>
                </c:pt>
                <c:pt idx="15">
                  <c:v>5686.7</c:v>
                </c:pt>
                <c:pt idx="16">
                  <c:v>5636.4</c:v>
                </c:pt>
                <c:pt idx="17">
                  <c:v>5535.8</c:v>
                </c:pt>
                <c:pt idx="18">
                  <c:v>5636.4</c:v>
                </c:pt>
                <c:pt idx="19">
                  <c:v>5737.1</c:v>
                </c:pt>
                <c:pt idx="20">
                  <c:v>5636.4</c:v>
                </c:pt>
                <c:pt idx="21">
                  <c:v>5284.1</c:v>
                </c:pt>
                <c:pt idx="22">
                  <c:v>4780.8999999999996</c:v>
                </c:pt>
                <c:pt idx="23">
                  <c:v>4428.6000000000004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6-401E-BD69-83EFB773A515}"/>
            </c:ext>
          </c:extLst>
        </c:ser>
        <c:ser>
          <c:idx val="3"/>
          <c:order val="3"/>
          <c:tx>
            <c:strRef>
              <c:f>'Preforma 2'!$D$151</c:f>
              <c:strCache>
                <c:ptCount val="1"/>
                <c:pt idx="0">
                  <c:v>Generación PV (kW)</c:v>
                </c:pt>
              </c:strCache>
            </c:strRef>
          </c:tx>
          <c:spPr>
            <a:ln w="190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2'!$D$152:$D$175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271.8</c:v>
                </c:pt>
                <c:pt idx="8">
                  <c:v>526.5</c:v>
                </c:pt>
                <c:pt idx="9">
                  <c:v>748.1</c:v>
                </c:pt>
                <c:pt idx="10">
                  <c:v>922.7</c:v>
                </c:pt>
                <c:pt idx="11">
                  <c:v>1039.4000000000001</c:v>
                </c:pt>
                <c:pt idx="12">
                  <c:v>1090.7</c:v>
                </c:pt>
                <c:pt idx="13">
                  <c:v>1073.5</c:v>
                </c:pt>
                <c:pt idx="14">
                  <c:v>988.8</c:v>
                </c:pt>
                <c:pt idx="15">
                  <c:v>842</c:v>
                </c:pt>
                <c:pt idx="16">
                  <c:v>642.4</c:v>
                </c:pt>
                <c:pt idx="17">
                  <c:v>402.3</c:v>
                </c:pt>
                <c:pt idx="18">
                  <c:v>137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86-401E-BD69-83EFB773A515}"/>
            </c:ext>
          </c:extLst>
        </c:ser>
        <c:ser>
          <c:idx val="4"/>
          <c:order val="4"/>
          <c:tx>
            <c:strRef>
              <c:f>'Preforma 2'!$H$151</c:f>
              <c:strCache>
                <c:ptCount val="1"/>
                <c:pt idx="0">
                  <c:v>Carga NETA PV+BESS (kW)</c:v>
                </c:pt>
              </c:strCache>
            </c:strRef>
          </c:tx>
          <c:spPr>
            <a:ln w="34925">
              <a:solidFill>
                <a:srgbClr val="1F7A1F"/>
              </a:solidFill>
              <a:prstDash val="solid"/>
            </a:ln>
          </c:spPr>
          <c:marker>
            <c:symbol val="none"/>
          </c:marker>
          <c:cat>
            <c:numRef>
              <c:f>'Preforma 2'!$A$152:$A$175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2'!$H$152:$H$175</c:f>
              <c:numCache>
                <c:formatCode>#,##0</c:formatCode>
                <c:ptCount val="24"/>
                <c:pt idx="0">
                  <c:v>6184</c:v>
                </c:pt>
                <c:pt idx="1">
                  <c:v>6184</c:v>
                </c:pt>
                <c:pt idx="2">
                  <c:v>6184</c:v>
                </c:pt>
                <c:pt idx="3">
                  <c:v>6234.4</c:v>
                </c:pt>
                <c:pt idx="4">
                  <c:v>6335</c:v>
                </c:pt>
                <c:pt idx="5">
                  <c:v>6536.2999999999993</c:v>
                </c:pt>
                <c:pt idx="6">
                  <c:v>4931.8999999999996</c:v>
                </c:pt>
                <c:pt idx="7">
                  <c:v>5012.3</c:v>
                </c:pt>
                <c:pt idx="8">
                  <c:v>5109.8999999999996</c:v>
                </c:pt>
                <c:pt idx="9">
                  <c:v>5039.2999999999993</c:v>
                </c:pt>
                <c:pt idx="10">
                  <c:v>4915</c:v>
                </c:pt>
                <c:pt idx="11">
                  <c:v>4798.2999999999993</c:v>
                </c:pt>
                <c:pt idx="12">
                  <c:v>4747</c:v>
                </c:pt>
                <c:pt idx="13">
                  <c:v>4713.8999999999996</c:v>
                </c:pt>
                <c:pt idx="14">
                  <c:v>4748.3</c:v>
                </c:pt>
                <c:pt idx="15">
                  <c:v>4844.7</c:v>
                </c:pt>
                <c:pt idx="16">
                  <c:v>4994</c:v>
                </c:pt>
                <c:pt idx="17">
                  <c:v>5133.5</c:v>
                </c:pt>
                <c:pt idx="18">
                  <c:v>2794.0970473039215</c:v>
                </c:pt>
                <c:pt idx="19">
                  <c:v>2794.0970473039215</c:v>
                </c:pt>
                <c:pt idx="20">
                  <c:v>2794.0970473039215</c:v>
                </c:pt>
                <c:pt idx="21">
                  <c:v>2794.0970473039215</c:v>
                </c:pt>
                <c:pt idx="22">
                  <c:v>4780.8999999999996</c:v>
                </c:pt>
                <c:pt idx="23">
                  <c:v>4428.6000000000004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86-401E-BD69-83EFB773A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 del día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kW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Preforma 2 — Autoabasto: la banda naranja (beneficio) se pierde en 2032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Gasto real sin sistema</c:v>
          </c:tx>
          <c:spPr>
            <a:solidFill>
              <a:srgbClr val="8FAADC"/>
            </a:solidFill>
            <a:ln>
              <a:prstDash val="solid"/>
            </a:ln>
          </c:spPr>
          <c:cat>
            <c:numRef>
              <c:f>'Preforma 2'!$B$95:$B$114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'Preforma 2'!$E$95:$E$114</c:f>
              <c:numCache>
                <c:formatCode>#,##0</c:formatCode>
                <c:ptCount val="20"/>
                <c:pt idx="0">
                  <c:v>102136769.79669999</c:v>
                </c:pt>
                <c:pt idx="1">
                  <c:v>108264975.98450199</c:v>
                </c:pt>
                <c:pt idx="2">
                  <c:v>114760874.5435721</c:v>
                </c:pt>
                <c:pt idx="3">
                  <c:v>121646527.01618645</c:v>
                </c:pt>
                <c:pt idx="4">
                  <c:v>128945318.63715765</c:v>
                </c:pt>
                <c:pt idx="5">
                  <c:v>136682037.75538713</c:v>
                </c:pt>
                <c:pt idx="6">
                  <c:v>144882960.02071035</c:v>
                </c:pt>
                <c:pt idx="7">
                  <c:v>194577025.31985161</c:v>
                </c:pt>
                <c:pt idx="8">
                  <c:v>206251646.83904269</c:v>
                </c:pt>
                <c:pt idx="9">
                  <c:v>218626745.64938524</c:v>
                </c:pt>
                <c:pt idx="10">
                  <c:v>231744350.3883484</c:v>
                </c:pt>
                <c:pt idx="11">
                  <c:v>245649011.41164935</c:v>
                </c:pt>
                <c:pt idx="12">
                  <c:v>260387952.09634832</c:v>
                </c:pt>
                <c:pt idx="13">
                  <c:v>276011229.22212923</c:v>
                </c:pt>
                <c:pt idx="14">
                  <c:v>292571902.97545695</c:v>
                </c:pt>
                <c:pt idx="15">
                  <c:v>310126217.15398449</c:v>
                </c:pt>
                <c:pt idx="16">
                  <c:v>328733790.18322349</c:v>
                </c:pt>
                <c:pt idx="17">
                  <c:v>348457817.59421694</c:v>
                </c:pt>
                <c:pt idx="18">
                  <c:v>369365286.64986992</c:v>
                </c:pt>
                <c:pt idx="19">
                  <c:v>391527203.84886217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B-43D8-95DD-3A1B662E74F5}"/>
            </c:ext>
          </c:extLst>
        </c:ser>
        <c:ser>
          <c:idx val="1"/>
          <c:order val="1"/>
          <c:tx>
            <c:v>Beneficio autoabasto (TALA/ENEL)</c:v>
          </c:tx>
          <c:spPr>
            <a:solidFill>
              <a:srgbClr val="ED7D31"/>
            </a:solidFill>
            <a:ln>
              <a:prstDash val="solid"/>
            </a:ln>
          </c:spPr>
          <c:cat>
            <c:numRef>
              <c:f>'Preforma 2'!$B$95:$B$114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'Preforma 2'!$D$95:$D$114</c:f>
              <c:numCache>
                <c:formatCode>#,##0</c:formatCode>
                <c:ptCount val="20"/>
                <c:pt idx="0">
                  <c:v>27268065.03974073</c:v>
                </c:pt>
                <c:pt idx="1">
                  <c:v>28904148.942125175</c:v>
                </c:pt>
                <c:pt idx="2">
                  <c:v>30638397.878652688</c:v>
                </c:pt>
                <c:pt idx="3">
                  <c:v>32476701.751371853</c:v>
                </c:pt>
                <c:pt idx="4">
                  <c:v>34425303.856454164</c:v>
                </c:pt>
                <c:pt idx="5">
                  <c:v>36490822.087841421</c:v>
                </c:pt>
                <c:pt idx="6">
                  <c:v>38680271.413111903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B-43D8-95DD-3A1B662E7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Año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MXN/año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Preforma 2 — Despacho VERANO (punta 2h): rasurado plano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Carga tras PV (kW)</c:v>
          </c:tx>
          <c:marker>
            <c:symbol val="none"/>
          </c:marker>
          <c:cat>
            <c:numRef>
              <c:f>'Preforma 2'!$A$188:$A$211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'Preforma 2'!$E$188:$E$211</c:f>
              <c:numCache>
                <c:formatCode>General</c:formatCode>
                <c:ptCount val="24"/>
                <c:pt idx="0">
                  <c:v>4277.6000000000004</c:v>
                </c:pt>
                <c:pt idx="1">
                  <c:v>4277.6000000000004</c:v>
                </c:pt>
                <c:pt idx="2">
                  <c:v>4277.6000000000004</c:v>
                </c:pt>
                <c:pt idx="3">
                  <c:v>4328</c:v>
                </c:pt>
                <c:pt idx="4">
                  <c:v>4428.6000000000004</c:v>
                </c:pt>
                <c:pt idx="5">
                  <c:v>4629.8999999999996</c:v>
                </c:pt>
                <c:pt idx="6">
                  <c:v>4931.8999999999996</c:v>
                </c:pt>
                <c:pt idx="7">
                  <c:v>5012.3</c:v>
                </c:pt>
                <c:pt idx="8">
                  <c:v>5109.8999999999996</c:v>
                </c:pt>
                <c:pt idx="9">
                  <c:v>5039.2999999999993</c:v>
                </c:pt>
                <c:pt idx="10">
                  <c:v>4915</c:v>
                </c:pt>
                <c:pt idx="11">
                  <c:v>4798.2999999999993</c:v>
                </c:pt>
                <c:pt idx="12">
                  <c:v>4747</c:v>
                </c:pt>
                <c:pt idx="13">
                  <c:v>4713.8999999999996</c:v>
                </c:pt>
                <c:pt idx="14">
                  <c:v>4748.3</c:v>
                </c:pt>
                <c:pt idx="15">
                  <c:v>4844.7</c:v>
                </c:pt>
                <c:pt idx="16">
                  <c:v>4994</c:v>
                </c:pt>
                <c:pt idx="17">
                  <c:v>5133.5</c:v>
                </c:pt>
                <c:pt idx="18">
                  <c:v>5499.4</c:v>
                </c:pt>
                <c:pt idx="19">
                  <c:v>5737.1</c:v>
                </c:pt>
                <c:pt idx="20">
                  <c:v>5636.4</c:v>
                </c:pt>
                <c:pt idx="21">
                  <c:v>5284.1</c:v>
                </c:pt>
                <c:pt idx="22">
                  <c:v>4780.8999999999996</c:v>
                </c:pt>
                <c:pt idx="23">
                  <c:v>4428.6000000000004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E-40C0-AFF1-D9F4DE5A01E4}"/>
            </c:ext>
          </c:extLst>
        </c:ser>
        <c:ser>
          <c:idx val="1"/>
          <c:order val="1"/>
          <c:tx>
            <c:v>Carga NETA PV+BESS (kW)</c:v>
          </c:tx>
          <c:marker>
            <c:symbol val="none"/>
          </c:marker>
          <c:val>
            <c:numRef>
              <c:f>'Preforma 2'!$H$188:$H$211</c:f>
              <c:numCache>
                <c:formatCode>General</c:formatCode>
                <c:ptCount val="24"/>
                <c:pt idx="0">
                  <c:v>6184</c:v>
                </c:pt>
                <c:pt idx="1">
                  <c:v>6184</c:v>
                </c:pt>
                <c:pt idx="2">
                  <c:v>6184</c:v>
                </c:pt>
                <c:pt idx="3">
                  <c:v>6234.4</c:v>
                </c:pt>
                <c:pt idx="4">
                  <c:v>6335</c:v>
                </c:pt>
                <c:pt idx="5">
                  <c:v>6536.2999999999993</c:v>
                </c:pt>
                <c:pt idx="6">
                  <c:v>4931.8999999999996</c:v>
                </c:pt>
                <c:pt idx="7">
                  <c:v>5012.3</c:v>
                </c:pt>
                <c:pt idx="8">
                  <c:v>5109.8999999999996</c:v>
                </c:pt>
                <c:pt idx="9">
                  <c:v>5039.2999999999993</c:v>
                </c:pt>
                <c:pt idx="10">
                  <c:v>4915</c:v>
                </c:pt>
                <c:pt idx="11">
                  <c:v>4798.2999999999993</c:v>
                </c:pt>
                <c:pt idx="12">
                  <c:v>4747</c:v>
                </c:pt>
                <c:pt idx="13">
                  <c:v>4713.8999999999996</c:v>
                </c:pt>
                <c:pt idx="14">
                  <c:v>4748.3</c:v>
                </c:pt>
                <c:pt idx="15">
                  <c:v>4844.7</c:v>
                </c:pt>
                <c:pt idx="16">
                  <c:v>4994</c:v>
                </c:pt>
                <c:pt idx="17">
                  <c:v>5133.5</c:v>
                </c:pt>
                <c:pt idx="18">
                  <c:v>5499.4</c:v>
                </c:pt>
                <c:pt idx="19">
                  <c:v>5737.1</c:v>
                </c:pt>
                <c:pt idx="20" formatCode="#,##0">
                  <c:v>0</c:v>
                </c:pt>
                <c:pt idx="21" formatCode="#,##0">
                  <c:v>0</c:v>
                </c:pt>
                <c:pt idx="22">
                  <c:v>4780.8999999999996</c:v>
                </c:pt>
                <c:pt idx="23">
                  <c:v>4428.6000000000004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CE-40C0-AFF1-D9F4DE5A0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61728"/>
        <c:axId val="1607792"/>
      </c:lineChart>
      <c:catAx>
        <c:axId val="11096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7792"/>
        <c:crosses val="autoZero"/>
        <c:auto val="1"/>
        <c:lblAlgn val="ctr"/>
        <c:lblOffset val="100"/>
        <c:noMultiLvlLbl val="0"/>
      </c:catAx>
      <c:valAx>
        <c:axId val="160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961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Tapa — Despacho día típico — INVIERNO (punta 4h) PV+BESS (Opción 1 — Autoconsumo)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Tapa!$F$151</c:f>
              <c:strCache>
                <c:ptCount val="1"/>
                <c:pt idx="0">
                  <c:v>BESS carga (kW, −)</c:v>
                </c:pt>
              </c:strCache>
            </c:strRef>
          </c:tx>
          <c:spPr>
            <a:solidFill>
              <a:srgbClr val="2E9BD6"/>
            </a:solidFill>
            <a:ln>
              <a:solidFill>
                <a:srgbClr val="2E9BD6"/>
              </a:solidFill>
              <a:prstDash val="solid"/>
            </a:ln>
          </c:spPr>
          <c:invertIfNegative val="1"/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Tapa!$F$152:$F$175</c:f>
              <c:numCache>
                <c:formatCode>#,##0</c:formatCode>
                <c:ptCount val="24"/>
                <c:pt idx="0">
                  <c:v>-1264.0999999999999</c:v>
                </c:pt>
                <c:pt idx="1">
                  <c:v>-1264.0999999999999</c:v>
                </c:pt>
                <c:pt idx="2">
                  <c:v>-1264.0999999999999</c:v>
                </c:pt>
                <c:pt idx="3">
                  <c:v>-1264.0999999999999</c:v>
                </c:pt>
                <c:pt idx="4">
                  <c:v>-1264.0999999999999</c:v>
                </c:pt>
                <c:pt idx="5">
                  <c:v>-1264.0999999999999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9B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3E-4B9A-8372-6E7A81A41B8B}"/>
            </c:ext>
          </c:extLst>
        </c:ser>
        <c:ser>
          <c:idx val="1"/>
          <c:order val="1"/>
          <c:tx>
            <c:strRef>
              <c:f>Tapa!$G$151</c:f>
              <c:strCache>
                <c:ptCount val="1"/>
                <c:pt idx="0">
                  <c:v>BESS descarga (kW)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Tapa!$G$152:$G$175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1794.1040094929194</c:v>
                </c:pt>
                <c:pt idx="19">
                  <c:v>1950.2040094929198</c:v>
                </c:pt>
                <c:pt idx="20">
                  <c:v>1884.1040094929194</c:v>
                </c:pt>
                <c:pt idx="21">
                  <c:v>1652.8040094929197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3E-4B9A-8372-6E7A81A41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Tapa!$C$151</c:f>
              <c:strCache>
                <c:ptCount val="1"/>
                <c:pt idx="0">
                  <c:v>Carga Cliente (kW)</c:v>
                </c:pt>
              </c:strCache>
            </c:strRef>
          </c:tx>
          <c:spPr>
            <a:ln w="1905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Tapa!$C$152:$C$175</c:f>
              <c:numCache>
                <c:formatCode>#,##0</c:formatCode>
                <c:ptCount val="24"/>
                <c:pt idx="0">
                  <c:v>2809.3</c:v>
                </c:pt>
                <c:pt idx="1">
                  <c:v>2809.3</c:v>
                </c:pt>
                <c:pt idx="2">
                  <c:v>2809.3</c:v>
                </c:pt>
                <c:pt idx="3">
                  <c:v>2842.4</c:v>
                </c:pt>
                <c:pt idx="4">
                  <c:v>2908.5</c:v>
                </c:pt>
                <c:pt idx="5">
                  <c:v>3040.7</c:v>
                </c:pt>
                <c:pt idx="6">
                  <c:v>3239</c:v>
                </c:pt>
                <c:pt idx="7">
                  <c:v>3470.4</c:v>
                </c:pt>
                <c:pt idx="8">
                  <c:v>3701.7</c:v>
                </c:pt>
                <c:pt idx="9">
                  <c:v>3800.9</c:v>
                </c:pt>
                <c:pt idx="10">
                  <c:v>3833.9</c:v>
                </c:pt>
                <c:pt idx="11">
                  <c:v>3833.9</c:v>
                </c:pt>
                <c:pt idx="12">
                  <c:v>3833.9</c:v>
                </c:pt>
                <c:pt idx="13">
                  <c:v>3800.9</c:v>
                </c:pt>
                <c:pt idx="14">
                  <c:v>3767.8</c:v>
                </c:pt>
                <c:pt idx="15">
                  <c:v>3734.8</c:v>
                </c:pt>
                <c:pt idx="16">
                  <c:v>3701.7</c:v>
                </c:pt>
                <c:pt idx="17">
                  <c:v>3635.6</c:v>
                </c:pt>
                <c:pt idx="18">
                  <c:v>3701.7</c:v>
                </c:pt>
                <c:pt idx="19">
                  <c:v>3767.8</c:v>
                </c:pt>
                <c:pt idx="20">
                  <c:v>3701.7</c:v>
                </c:pt>
                <c:pt idx="21">
                  <c:v>3470.4</c:v>
                </c:pt>
                <c:pt idx="22">
                  <c:v>3139.9</c:v>
                </c:pt>
                <c:pt idx="23">
                  <c:v>2908.5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E-4B9A-8372-6E7A81A41B8B}"/>
            </c:ext>
          </c:extLst>
        </c:ser>
        <c:ser>
          <c:idx val="3"/>
          <c:order val="3"/>
          <c:tx>
            <c:strRef>
              <c:f>Tapa!$D$151</c:f>
              <c:strCache>
                <c:ptCount val="1"/>
                <c:pt idx="0">
                  <c:v>Generación PV (kW)</c:v>
                </c:pt>
              </c:strCache>
            </c:strRef>
          </c:tx>
          <c:spPr>
            <a:ln w="190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Tapa!$D$152:$D$175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178.5</c:v>
                </c:pt>
                <c:pt idx="8">
                  <c:v>345.8</c:v>
                </c:pt>
                <c:pt idx="9">
                  <c:v>491.3</c:v>
                </c:pt>
                <c:pt idx="10">
                  <c:v>606</c:v>
                </c:pt>
                <c:pt idx="11">
                  <c:v>682.6</c:v>
                </c:pt>
                <c:pt idx="12">
                  <c:v>716.3</c:v>
                </c:pt>
                <c:pt idx="13">
                  <c:v>705</c:v>
                </c:pt>
                <c:pt idx="14">
                  <c:v>649.4</c:v>
                </c:pt>
                <c:pt idx="15">
                  <c:v>553</c:v>
                </c:pt>
                <c:pt idx="16">
                  <c:v>421.9</c:v>
                </c:pt>
                <c:pt idx="17">
                  <c:v>264.2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3E-4B9A-8372-6E7A81A41B8B}"/>
            </c:ext>
          </c:extLst>
        </c:ser>
        <c:ser>
          <c:idx val="4"/>
          <c:order val="4"/>
          <c:tx>
            <c:strRef>
              <c:f>Tapa!$H$151</c:f>
              <c:strCache>
                <c:ptCount val="1"/>
                <c:pt idx="0">
                  <c:v>Carga NETA PV+BESS (kW)</c:v>
                </c:pt>
              </c:strCache>
            </c:strRef>
          </c:tx>
          <c:spPr>
            <a:ln w="34925">
              <a:solidFill>
                <a:srgbClr val="1F7A1F"/>
              </a:solidFill>
              <a:prstDash val="solid"/>
            </a:ln>
          </c:spPr>
          <c:marker>
            <c:symbol val="none"/>
          </c:marker>
          <c:cat>
            <c:numRef>
              <c:f>Tapa!$A$152:$A$175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Tapa!$H$152:$H$175</c:f>
              <c:numCache>
                <c:formatCode>#,##0</c:formatCode>
                <c:ptCount val="24"/>
                <c:pt idx="0">
                  <c:v>4073.4</c:v>
                </c:pt>
                <c:pt idx="1">
                  <c:v>4073.4</c:v>
                </c:pt>
                <c:pt idx="2">
                  <c:v>4073.4</c:v>
                </c:pt>
                <c:pt idx="3">
                  <c:v>4106.5</c:v>
                </c:pt>
                <c:pt idx="4">
                  <c:v>4172.6000000000004</c:v>
                </c:pt>
                <c:pt idx="5">
                  <c:v>4304.7999999999993</c:v>
                </c:pt>
                <c:pt idx="6">
                  <c:v>3239</c:v>
                </c:pt>
                <c:pt idx="7">
                  <c:v>3291.9</c:v>
                </c:pt>
                <c:pt idx="8">
                  <c:v>3355.8999999999996</c:v>
                </c:pt>
                <c:pt idx="9">
                  <c:v>3309.6</c:v>
                </c:pt>
                <c:pt idx="10">
                  <c:v>3227.9</c:v>
                </c:pt>
                <c:pt idx="11">
                  <c:v>3151.3</c:v>
                </c:pt>
                <c:pt idx="12">
                  <c:v>3117.6000000000004</c:v>
                </c:pt>
                <c:pt idx="13">
                  <c:v>3095.9</c:v>
                </c:pt>
                <c:pt idx="14">
                  <c:v>3118.4</c:v>
                </c:pt>
                <c:pt idx="15">
                  <c:v>3181.8</c:v>
                </c:pt>
                <c:pt idx="16">
                  <c:v>3279.7999999999997</c:v>
                </c:pt>
                <c:pt idx="17">
                  <c:v>3371.4</c:v>
                </c:pt>
                <c:pt idx="18">
                  <c:v>1817.5959905070804</c:v>
                </c:pt>
                <c:pt idx="19">
                  <c:v>1817.5959905070804</c:v>
                </c:pt>
                <c:pt idx="20">
                  <c:v>1817.5959905070804</c:v>
                </c:pt>
                <c:pt idx="21">
                  <c:v>1817.5959905070804</c:v>
                </c:pt>
                <c:pt idx="22">
                  <c:v>3139.9</c:v>
                </c:pt>
                <c:pt idx="23">
                  <c:v>2908.5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3E-4B9A-8372-6E7A81A41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 del día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kW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Tapa — Autoabasto: la banda naranja (beneficio) se pierde en 2032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Gasto real sin sistema</c:v>
          </c:tx>
          <c:spPr>
            <a:solidFill>
              <a:srgbClr val="8FAADC"/>
            </a:solidFill>
            <a:ln>
              <a:prstDash val="solid"/>
            </a:ln>
          </c:spPr>
          <c:cat>
            <c:numRef>
              <c:f>Tapa!$B$95:$B$114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Tapa!$E$95:$E$114</c:f>
              <c:numCache>
                <c:formatCode>#,##0</c:formatCode>
                <c:ptCount val="20"/>
                <c:pt idx="0">
                  <c:v>63523602.527400002</c:v>
                </c:pt>
                <c:pt idx="1">
                  <c:v>67335018.679044008</c:v>
                </c:pt>
                <c:pt idx="2">
                  <c:v>71375119.799786657</c:v>
                </c:pt>
                <c:pt idx="3">
                  <c:v>75657626.987773851</c:v>
                </c:pt>
                <c:pt idx="4">
                  <c:v>80197084.607040286</c:v>
                </c:pt>
                <c:pt idx="5">
                  <c:v>85008909.683462724</c:v>
                </c:pt>
                <c:pt idx="6">
                  <c:v>90109444.264470488</c:v>
                </c:pt>
                <c:pt idx="7">
                  <c:v>129362697.54079027</c:v>
                </c:pt>
                <c:pt idx="8">
                  <c:v>137124459.39323768</c:v>
                </c:pt>
                <c:pt idx="9">
                  <c:v>145351926.95683193</c:v>
                </c:pt>
                <c:pt idx="10">
                  <c:v>154073042.57424188</c:v>
                </c:pt>
                <c:pt idx="11">
                  <c:v>163317425.12869641</c:v>
                </c:pt>
                <c:pt idx="12">
                  <c:v>173116470.63641819</c:v>
                </c:pt>
                <c:pt idx="13">
                  <c:v>183503458.8746033</c:v>
                </c:pt>
                <c:pt idx="14">
                  <c:v>194513666.40707949</c:v>
                </c:pt>
                <c:pt idx="15">
                  <c:v>206184486.39150432</c:v>
                </c:pt>
                <c:pt idx="16">
                  <c:v>218555555.57499453</c:v>
                </c:pt>
                <c:pt idx="17">
                  <c:v>231668888.90949422</c:v>
                </c:pt>
                <c:pt idx="18">
                  <c:v>245569022.24406388</c:v>
                </c:pt>
                <c:pt idx="19">
                  <c:v>260303163.57870775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A-4855-8122-CE6965C8F9A4}"/>
            </c:ext>
          </c:extLst>
        </c:ser>
        <c:ser>
          <c:idx val="1"/>
          <c:order val="1"/>
          <c:tx>
            <c:v>Beneficio autoabasto (TALA/ENEL)</c:v>
          </c:tx>
          <c:spPr>
            <a:solidFill>
              <a:srgbClr val="ED7D31"/>
            </a:solidFill>
            <a:ln>
              <a:prstDash val="solid"/>
            </a:ln>
          </c:spPr>
          <c:cat>
            <c:numRef>
              <c:f>Tapa!$B$95:$B$114</c:f>
              <c:numCache>
                <c:formatCode>0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Tapa!$D$95:$D$114</c:f>
              <c:numCache>
                <c:formatCode>#,##0</c:formatCode>
                <c:ptCount val="20"/>
                <c:pt idx="0">
                  <c:v>22509979.70947725</c:v>
                </c:pt>
                <c:pt idx="1">
                  <c:v>23860578.492045887</c:v>
                </c:pt>
                <c:pt idx="2">
                  <c:v>25292213.201568641</c:v>
                </c:pt>
                <c:pt idx="3">
                  <c:v>26809745.993662763</c:v>
                </c:pt>
                <c:pt idx="4">
                  <c:v>28418330.753282528</c:v>
                </c:pt>
                <c:pt idx="5">
                  <c:v>30123430.598479483</c:v>
                </c:pt>
                <c:pt idx="6">
                  <c:v>31930836.434388254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A-4855-8122-CE6965C8F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Año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MXN/año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Tapa — Despacho VERANO (punta 2h): rasurado plano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Carga tras PV (kW)</c:v>
          </c:tx>
          <c:marker>
            <c:symbol val="none"/>
          </c:marker>
          <c:cat>
            <c:numRef>
              <c:f>Tapa!$A$188:$A$211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Tapa!$E$188:$E$211</c:f>
              <c:numCache>
                <c:formatCode>General</c:formatCode>
                <c:ptCount val="24"/>
                <c:pt idx="0">
                  <c:v>2809.3</c:v>
                </c:pt>
                <c:pt idx="1">
                  <c:v>2809.3</c:v>
                </c:pt>
                <c:pt idx="2">
                  <c:v>2809.3</c:v>
                </c:pt>
                <c:pt idx="3">
                  <c:v>2842.4</c:v>
                </c:pt>
                <c:pt idx="4">
                  <c:v>2908.5</c:v>
                </c:pt>
                <c:pt idx="5">
                  <c:v>3040.7</c:v>
                </c:pt>
                <c:pt idx="6">
                  <c:v>3239</c:v>
                </c:pt>
                <c:pt idx="7">
                  <c:v>3291.9</c:v>
                </c:pt>
                <c:pt idx="8">
                  <c:v>3355.8999999999996</c:v>
                </c:pt>
                <c:pt idx="9">
                  <c:v>3309.6</c:v>
                </c:pt>
                <c:pt idx="10">
                  <c:v>3227.9</c:v>
                </c:pt>
                <c:pt idx="11">
                  <c:v>3151.3</c:v>
                </c:pt>
                <c:pt idx="12">
                  <c:v>3117.6000000000004</c:v>
                </c:pt>
                <c:pt idx="13">
                  <c:v>3095.9</c:v>
                </c:pt>
                <c:pt idx="14">
                  <c:v>3118.4</c:v>
                </c:pt>
                <c:pt idx="15">
                  <c:v>3181.8</c:v>
                </c:pt>
                <c:pt idx="16">
                  <c:v>3279.7999999999997</c:v>
                </c:pt>
                <c:pt idx="17">
                  <c:v>3371.4</c:v>
                </c:pt>
                <c:pt idx="18">
                  <c:v>3611.7</c:v>
                </c:pt>
                <c:pt idx="19">
                  <c:v>3767.8</c:v>
                </c:pt>
                <c:pt idx="20">
                  <c:v>3701.7</c:v>
                </c:pt>
                <c:pt idx="21">
                  <c:v>3470.4</c:v>
                </c:pt>
                <c:pt idx="22">
                  <c:v>3139.9</c:v>
                </c:pt>
                <c:pt idx="23">
                  <c:v>2908.5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1-4DA8-840D-C2755DCB549B}"/>
            </c:ext>
          </c:extLst>
        </c:ser>
        <c:ser>
          <c:idx val="1"/>
          <c:order val="1"/>
          <c:tx>
            <c:v>Carga NETA PV+BESS (kW)</c:v>
          </c:tx>
          <c:marker>
            <c:symbol val="none"/>
          </c:marker>
          <c:val>
            <c:numRef>
              <c:f>Tapa!$H$188:$H$211</c:f>
              <c:numCache>
                <c:formatCode>General</c:formatCode>
                <c:ptCount val="24"/>
                <c:pt idx="0">
                  <c:v>4073.4</c:v>
                </c:pt>
                <c:pt idx="1">
                  <c:v>4073.4</c:v>
                </c:pt>
                <c:pt idx="2">
                  <c:v>4073.4</c:v>
                </c:pt>
                <c:pt idx="3">
                  <c:v>4106.5</c:v>
                </c:pt>
                <c:pt idx="4">
                  <c:v>4172.6000000000004</c:v>
                </c:pt>
                <c:pt idx="5">
                  <c:v>4304.7999999999993</c:v>
                </c:pt>
                <c:pt idx="6">
                  <c:v>3239</c:v>
                </c:pt>
                <c:pt idx="7">
                  <c:v>3291.9</c:v>
                </c:pt>
                <c:pt idx="8">
                  <c:v>3355.8999999999996</c:v>
                </c:pt>
                <c:pt idx="9">
                  <c:v>3309.6</c:v>
                </c:pt>
                <c:pt idx="10">
                  <c:v>3227.9</c:v>
                </c:pt>
                <c:pt idx="11">
                  <c:v>3151.3</c:v>
                </c:pt>
                <c:pt idx="12">
                  <c:v>3117.6000000000004</c:v>
                </c:pt>
                <c:pt idx="13">
                  <c:v>3095.9</c:v>
                </c:pt>
                <c:pt idx="14">
                  <c:v>3118.4</c:v>
                </c:pt>
                <c:pt idx="15">
                  <c:v>3181.8</c:v>
                </c:pt>
                <c:pt idx="16">
                  <c:v>3279.7999999999997</c:v>
                </c:pt>
                <c:pt idx="17">
                  <c:v>3371.4</c:v>
                </c:pt>
                <c:pt idx="18">
                  <c:v>3611.7</c:v>
                </c:pt>
                <c:pt idx="19">
                  <c:v>3767.8</c:v>
                </c:pt>
                <c:pt idx="20" formatCode="#,##0">
                  <c:v>0</c:v>
                </c:pt>
                <c:pt idx="21" formatCode="#,##0">
                  <c:v>0</c:v>
                </c:pt>
                <c:pt idx="22">
                  <c:v>3139.9</c:v>
                </c:pt>
                <c:pt idx="23">
                  <c:v>2908.5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1-4DA8-840D-C2755DCB5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64048"/>
        <c:axId val="1506992"/>
      </c:lineChart>
      <c:catAx>
        <c:axId val="11096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6992"/>
        <c:crosses val="autoZero"/>
        <c:auto val="1"/>
        <c:lblAlgn val="ctr"/>
        <c:lblOffset val="100"/>
        <c:noMultiLvlLbl val="0"/>
      </c:catAx>
      <c:valAx>
        <c:axId val="150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964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149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166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8</xdr:col>
      <xdr:colOff>0</xdr:colOff>
      <xdr:row>187</xdr:row>
      <xdr:rowOff>1</xdr:rowOff>
    </xdr:from>
    <xdr:to>
      <xdr:col>13</xdr:col>
      <xdr:colOff>660400</xdr:colOff>
      <xdr:row>203</xdr:row>
      <xdr:rowOff>121921</xdr:rowOff>
    </xdr:to>
    <xdr:graphicFrame macro="">
      <xdr:nvGraphicFramePr>
        <xdr:cNvPr id="4" name="SummerDispatch">
          <a:extLst>
            <a:ext uri="{FF2B5EF4-FFF2-40B4-BE49-F238E27FC236}">
              <a16:creationId xmlns:a16="http://schemas.microsoft.com/office/drawing/2014/main" id="{A4B56ED7-6A55-C939-2157-44163696C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149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166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8</xdr:col>
      <xdr:colOff>0</xdr:colOff>
      <xdr:row>187</xdr:row>
      <xdr:rowOff>1</xdr:rowOff>
    </xdr:from>
    <xdr:to>
      <xdr:col>13</xdr:col>
      <xdr:colOff>660400</xdr:colOff>
      <xdr:row>203</xdr:row>
      <xdr:rowOff>121921</xdr:rowOff>
    </xdr:to>
    <xdr:graphicFrame macro="">
      <xdr:nvGraphicFramePr>
        <xdr:cNvPr id="4" name="SummerDispatch">
          <a:extLst>
            <a:ext uri="{FF2B5EF4-FFF2-40B4-BE49-F238E27FC236}">
              <a16:creationId xmlns:a16="http://schemas.microsoft.com/office/drawing/2014/main" id="{5C0F190C-5813-97FE-2884-790EA043A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149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166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8</xdr:col>
      <xdr:colOff>0</xdr:colOff>
      <xdr:row>187</xdr:row>
      <xdr:rowOff>1</xdr:rowOff>
    </xdr:from>
    <xdr:to>
      <xdr:col>13</xdr:col>
      <xdr:colOff>660400</xdr:colOff>
      <xdr:row>203</xdr:row>
      <xdr:rowOff>121921</xdr:rowOff>
    </xdr:to>
    <xdr:graphicFrame macro="">
      <xdr:nvGraphicFramePr>
        <xdr:cNvPr id="4" name="SummerDispatch">
          <a:extLst>
            <a:ext uri="{FF2B5EF4-FFF2-40B4-BE49-F238E27FC236}">
              <a16:creationId xmlns:a16="http://schemas.microsoft.com/office/drawing/2014/main" id="{5921379C-C659-5D85-FD98-DCA3712B8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30" customWidth="1"/>
    <col min="3" max="17" width="15" customWidth="1"/>
  </cols>
  <sheetData>
    <row r="1" spans="1:17" x14ac:dyDescent="0.3">
      <c r="A1" s="1" t="s">
        <v>0</v>
      </c>
    </row>
    <row r="3" spans="1:1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3">
      <c r="A4" s="3" t="s">
        <v>18</v>
      </c>
      <c r="B4" t="s">
        <v>19</v>
      </c>
      <c r="C4" s="4">
        <f>'Preforma 1'!C26</f>
        <v>681.2</v>
      </c>
      <c r="D4" s="4">
        <f>'Preforma 1'!C28</f>
        <v>2080</v>
      </c>
      <c r="E4" s="4">
        <f>'Preforma 1'!C29</f>
        <v>4159</v>
      </c>
      <c r="F4" s="4">
        <f>'Preforma 1'!C41</f>
        <v>1130906.4416</v>
      </c>
      <c r="G4" s="4">
        <f>'Preforma 1'!N19</f>
        <v>32178329.2093</v>
      </c>
      <c r="H4" s="5">
        <f>'Preforma 1'!C38</f>
        <v>7886060.9072246766</v>
      </c>
      <c r="I4" s="4">
        <f>'Preforma 1'!C45</f>
        <v>8780166.4726600498</v>
      </c>
      <c r="J4" s="4">
        <f>'Preforma 1'!C46</f>
        <v>1249199.25539213</v>
      </c>
      <c r="K4" s="4">
        <f>'Preforma 1'!C47</f>
        <v>3367873.7071538973</v>
      </c>
      <c r="L4" s="6">
        <f>'Preforma 1'!C48</f>
        <v>4163093.5101140221</v>
      </c>
      <c r="M4" s="7">
        <f>'Preforma 1'!C49</f>
        <v>0.27285961354769334</v>
      </c>
      <c r="N4" s="7">
        <f>'Preforma 1'!C50</f>
        <v>0.12937568893138268</v>
      </c>
      <c r="O4" s="8">
        <f>'Preforma 1'!C31</f>
        <v>1.1046</v>
      </c>
      <c r="P4" s="7">
        <f>'Preforma 1'!C51</f>
        <v>0.14109903208916674</v>
      </c>
      <c r="Q4" s="7">
        <f>'Preforma 1'!C52</f>
        <v>0.13491917345168702</v>
      </c>
    </row>
    <row r="5" spans="1:17" x14ac:dyDescent="0.3">
      <c r="B5" t="s">
        <v>20</v>
      </c>
      <c r="C5" s="4">
        <f>'Preforma 1'!D26</f>
        <v>839.45</v>
      </c>
      <c r="D5" s="4">
        <f>'Preforma 1'!D28</f>
        <v>2080</v>
      </c>
      <c r="E5" s="4">
        <f>'Preforma 1'!D29</f>
        <v>4159</v>
      </c>
      <c r="F5" s="4">
        <f>'Preforma 1'!D41</f>
        <v>1393628.0276000001</v>
      </c>
      <c r="G5" s="4">
        <f>'Preforma 1'!N19</f>
        <v>32178329.2093</v>
      </c>
      <c r="H5" s="5">
        <f>'Preforma 1'!C38</f>
        <v>7886060.9072246766</v>
      </c>
      <c r="I5" s="4">
        <f>'Preforma 1'!D45</f>
        <v>9255107.2465350553</v>
      </c>
      <c r="J5" s="4">
        <f>'Preforma 1'!D46</f>
        <v>1539401.5192886211</v>
      </c>
      <c r="K5" s="4">
        <f>'Preforma 1'!D47</f>
        <v>3367873.7071538973</v>
      </c>
      <c r="L5" s="6">
        <f>'Preforma 1'!D48</f>
        <v>4347832.0200925376</v>
      </c>
      <c r="M5" s="7">
        <f>'Preforma 1'!D49</f>
        <v>0.28761926035178348</v>
      </c>
      <c r="N5" s="7">
        <f>'Preforma 1'!D50</f>
        <v>0.13511677352209919</v>
      </c>
      <c r="O5" s="8">
        <f>'Preforma 1'!D31</f>
        <v>1.1046</v>
      </c>
      <c r="P5" s="7">
        <f>'Preforma 1'!D51</f>
        <v>0.14109903208926866</v>
      </c>
      <c r="Q5" s="7">
        <f>'Preforma 1'!D52</f>
        <v>0.13491917345168702</v>
      </c>
    </row>
    <row r="6" spans="1:17" x14ac:dyDescent="0.3">
      <c r="A6" s="3" t="s">
        <v>21</v>
      </c>
      <c r="B6" t="s">
        <v>19</v>
      </c>
      <c r="C6" s="4">
        <f>'Preforma 2'!C26</f>
        <v>1912</v>
      </c>
      <c r="D6" s="4">
        <f>'Preforma 2'!C28</f>
        <v>5837</v>
      </c>
      <c r="E6" s="4">
        <f>'Preforma 2'!C29</f>
        <v>11674</v>
      </c>
      <c r="F6" s="4">
        <f>'Preforma 2'!C41</f>
        <v>3174241.216</v>
      </c>
      <c r="G6" s="4">
        <f>'Preforma 2'!N19</f>
        <v>102136769.79669999</v>
      </c>
      <c r="H6" s="5">
        <f>'Preforma 2'!C38</f>
        <v>27268065.03974073</v>
      </c>
      <c r="I6" s="4">
        <f>'Preforma 2'!C45</f>
        <v>24644121.840059046</v>
      </c>
      <c r="J6" s="4">
        <f>'Preforma 2'!C46</f>
        <v>3506266.8471957608</v>
      </c>
      <c r="K6" s="4">
        <f>'Preforma 2'!C47</f>
        <v>9452911.4488246534</v>
      </c>
      <c r="L6" s="6">
        <f>'Preforma 2'!C48</f>
        <v>11684943.544038633</v>
      </c>
      <c r="M6" s="7">
        <f>'Preforma 2'!C49</f>
        <v>0.24128550265602086</v>
      </c>
      <c r="N6" s="7">
        <f>'Preforma 2'!C50</f>
        <v>0.1144048668006355</v>
      </c>
      <c r="O6" s="8">
        <f>'Preforma 2'!C31</f>
        <v>1.1046</v>
      </c>
      <c r="P6" s="7">
        <f>'Preforma 2'!C51</f>
        <v>0.14109903208916652</v>
      </c>
      <c r="Q6" s="7">
        <f>'Preforma 2'!C52</f>
        <v>0.13490802380973976</v>
      </c>
    </row>
    <row r="7" spans="1:17" x14ac:dyDescent="0.3">
      <c r="B7" t="s">
        <v>20</v>
      </c>
      <c r="C7" s="4">
        <f>'Preforma 2'!D26</f>
        <v>839.45</v>
      </c>
      <c r="D7" s="4">
        <f>'Preforma 2'!D28</f>
        <v>5837</v>
      </c>
      <c r="E7" s="4">
        <f>'Preforma 2'!D29</f>
        <v>11674</v>
      </c>
      <c r="F7" s="4">
        <f>'Preforma 2'!D41</f>
        <v>1393628.0276000001</v>
      </c>
      <c r="G7" s="4">
        <f>'Preforma 2'!N19</f>
        <v>102136769.79669999</v>
      </c>
      <c r="H7" s="5">
        <f>'Preforma 2'!C38</f>
        <v>27268065.03974073</v>
      </c>
      <c r="I7" s="4">
        <f>'Preforma 2'!D45</f>
        <v>21425182.729876567</v>
      </c>
      <c r="J7" s="4">
        <f>'Preforma 2'!D46</f>
        <v>1539401.5192886211</v>
      </c>
      <c r="K7" s="4">
        <f>'Preforma 2'!D47</f>
        <v>9452911.4488246534</v>
      </c>
      <c r="L7" s="6">
        <f>'Preforma 2'!D48</f>
        <v>10432869.761763291</v>
      </c>
      <c r="M7" s="7">
        <f>'Preforma 2'!D49</f>
        <v>0.20976953522734973</v>
      </c>
      <c r="N7" s="7">
        <f>'Preforma 2'!D50</f>
        <v>0.10214607121930319</v>
      </c>
      <c r="O7" s="8">
        <f>'Preforma 2'!D31</f>
        <v>1.1046</v>
      </c>
      <c r="P7" s="7">
        <f>'Preforma 2'!D51</f>
        <v>0.14109903208926866</v>
      </c>
      <c r="Q7" s="7">
        <f>'Preforma 2'!D52</f>
        <v>0.13490802380973976</v>
      </c>
    </row>
    <row r="8" spans="1:17" x14ac:dyDescent="0.3">
      <c r="A8" s="3" t="s">
        <v>22</v>
      </c>
      <c r="B8" t="s">
        <v>19</v>
      </c>
      <c r="C8" s="4">
        <f>Tapa!C26</f>
        <v>1255.7</v>
      </c>
      <c r="D8" s="4">
        <f>Tapa!C28</f>
        <v>3870</v>
      </c>
      <c r="E8" s="4">
        <f>Tapa!C29</f>
        <v>7741</v>
      </c>
      <c r="F8" s="4">
        <f>Tapa!C41</f>
        <v>2084672.9575999998</v>
      </c>
      <c r="G8" s="4">
        <f>Tapa!N19</f>
        <v>63523602.527400002</v>
      </c>
      <c r="H8" s="5">
        <f>Tapa!C38</f>
        <v>22509979.70947725</v>
      </c>
      <c r="I8" s="4">
        <f>Tapa!C45</f>
        <v>16298622.915372338</v>
      </c>
      <c r="J8" s="4">
        <f>Tapa!C46</f>
        <v>2302729.7489663791</v>
      </c>
      <c r="K8" s="4">
        <f>Tapa!C47</f>
        <v>6265006.5460794978</v>
      </c>
      <c r="L8" s="6">
        <f>Tapa!C48</f>
        <v>7730886.6203264613</v>
      </c>
      <c r="M8" s="7">
        <f>Tapa!C49</f>
        <v>0.25657585947431366</v>
      </c>
      <c r="N8" s="7">
        <f>Tapa!C50</f>
        <v>0.12170101053371231</v>
      </c>
      <c r="O8" s="8">
        <f>Tapa!C31</f>
        <v>1.1046</v>
      </c>
      <c r="P8" s="7">
        <f>Tapa!C51</f>
        <v>0.14109903208916652</v>
      </c>
      <c r="Q8" s="7">
        <f>Tapa!C52</f>
        <v>0.134790335035055</v>
      </c>
    </row>
    <row r="9" spans="1:17" x14ac:dyDescent="0.3">
      <c r="B9" t="s">
        <v>20</v>
      </c>
      <c r="C9" s="4">
        <f>Tapa!D26</f>
        <v>839.45</v>
      </c>
      <c r="D9" s="4">
        <f>Tapa!D28</f>
        <v>3870</v>
      </c>
      <c r="E9" s="4">
        <f>Tapa!D29</f>
        <v>7741</v>
      </c>
      <c r="F9" s="4">
        <f>Tapa!D41</f>
        <v>1393628.0276000001</v>
      </c>
      <c r="G9" s="4">
        <f>Tapa!N19</f>
        <v>63523602.527400002</v>
      </c>
      <c r="H9" s="5">
        <f>Tapa!C38</f>
        <v>22509979.70947725</v>
      </c>
      <c r="I9" s="4">
        <f>Tapa!D45</f>
        <v>15049372.924386257</v>
      </c>
      <c r="J9" s="4">
        <f>Tapa!D46</f>
        <v>1539401.5192886211</v>
      </c>
      <c r="K9" s="4">
        <f>Tapa!D47</f>
        <v>6265006.5460794978</v>
      </c>
      <c r="L9" s="6">
        <f>Tapa!D48</f>
        <v>7244964.8590181377</v>
      </c>
      <c r="M9" s="7">
        <f>Tapa!D49</f>
        <v>0.23690994096084089</v>
      </c>
      <c r="N9" s="7">
        <f>Tapa!D50</f>
        <v>0.11405154258833361</v>
      </c>
      <c r="O9" s="8">
        <f>Tapa!D31</f>
        <v>1.1046</v>
      </c>
      <c r="P9" s="7">
        <f>Tapa!D51</f>
        <v>0.14109903208926866</v>
      </c>
      <c r="Q9" s="7">
        <f>Tapa!D52</f>
        <v>0.134790335035055</v>
      </c>
    </row>
    <row r="11" spans="1:17" x14ac:dyDescent="0.3">
      <c r="A11" s="1" t="s">
        <v>23</v>
      </c>
      <c r="B11" s="3" t="s">
        <v>24</v>
      </c>
      <c r="C11" s="9">
        <f t="shared" ref="C11:L11" si="0">C4+C6+C8</f>
        <v>3848.8999999999996</v>
      </c>
      <c r="D11" s="9">
        <f t="shared" si="0"/>
        <v>11787</v>
      </c>
      <c r="E11" s="9">
        <f t="shared" si="0"/>
        <v>23574</v>
      </c>
      <c r="F11" s="9">
        <f t="shared" si="0"/>
        <v>6389820.6151999999</v>
      </c>
      <c r="G11" s="9">
        <f t="shared" si="0"/>
        <v>197838701.5334</v>
      </c>
      <c r="H11" s="9">
        <f t="shared" si="0"/>
        <v>57664105.656442657</v>
      </c>
      <c r="I11" s="9">
        <f t="shared" si="0"/>
        <v>49722911.228091434</v>
      </c>
      <c r="J11" s="9">
        <f t="shared" si="0"/>
        <v>7058195.8515542699</v>
      </c>
      <c r="K11" s="9">
        <f t="shared" si="0"/>
        <v>19085791.702058047</v>
      </c>
      <c r="L11" s="9">
        <f t="shared" si="0"/>
        <v>23578923.674479116</v>
      </c>
    </row>
    <row r="12" spans="1:17" x14ac:dyDescent="0.3">
      <c r="B12" s="3" t="s">
        <v>25</v>
      </c>
      <c r="C12" s="9">
        <f t="shared" ref="C12:L12" si="1">C5+C7+C9</f>
        <v>2518.3500000000004</v>
      </c>
      <c r="D12" s="9">
        <f t="shared" si="1"/>
        <v>11787</v>
      </c>
      <c r="E12" s="9">
        <f t="shared" si="1"/>
        <v>23574</v>
      </c>
      <c r="F12" s="9">
        <f t="shared" si="1"/>
        <v>4180884.0828000004</v>
      </c>
      <c r="G12" s="9">
        <f t="shared" si="1"/>
        <v>197838701.5334</v>
      </c>
      <c r="H12" s="9">
        <f t="shared" si="1"/>
        <v>57664105.656442657</v>
      </c>
      <c r="I12" s="9">
        <f t="shared" si="1"/>
        <v>45729662.900797881</v>
      </c>
      <c r="J12" s="9">
        <f t="shared" si="1"/>
        <v>4618204.5578658637</v>
      </c>
      <c r="K12" s="9">
        <f t="shared" si="1"/>
        <v>19085791.702058047</v>
      </c>
      <c r="L12" s="9">
        <f t="shared" si="1"/>
        <v>22025666.640873969</v>
      </c>
    </row>
    <row r="14" spans="1:17" x14ac:dyDescent="0.3">
      <c r="A1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/>
  </sheetViews>
  <sheetFormatPr defaultRowHeight="14.4" x14ac:dyDescent="0.3"/>
  <cols>
    <col min="1" max="1" width="52" customWidth="1"/>
    <col min="2" max="5" width="16" customWidth="1"/>
  </cols>
  <sheetData>
    <row r="1" spans="1:3" x14ac:dyDescent="0.3">
      <c r="A1" s="1" t="s">
        <v>27</v>
      </c>
    </row>
    <row r="4" spans="1:3" x14ac:dyDescent="0.3">
      <c r="A4" t="s">
        <v>28</v>
      </c>
      <c r="B4" s="10">
        <v>17.55</v>
      </c>
      <c r="C4" t="s">
        <v>29</v>
      </c>
    </row>
    <row r="5" spans="1:3" x14ac:dyDescent="0.3">
      <c r="A5" t="s">
        <v>30</v>
      </c>
      <c r="B5" s="11">
        <v>0.65</v>
      </c>
      <c r="C5" t="s">
        <v>31</v>
      </c>
    </row>
    <row r="6" spans="1:3" x14ac:dyDescent="0.3">
      <c r="A6" t="s">
        <v>32</v>
      </c>
      <c r="B6" s="11">
        <v>0.5</v>
      </c>
      <c r="C6" t="s">
        <v>31</v>
      </c>
    </row>
    <row r="7" spans="1:3" x14ac:dyDescent="0.3">
      <c r="A7" t="s">
        <v>33</v>
      </c>
      <c r="B7" s="11">
        <v>0.28000000000000003</v>
      </c>
      <c r="C7" t="s">
        <v>34</v>
      </c>
    </row>
    <row r="8" spans="1:3" x14ac:dyDescent="0.3">
      <c r="A8" t="s">
        <v>35</v>
      </c>
      <c r="B8" s="11">
        <v>0.18</v>
      </c>
      <c r="C8" t="s">
        <v>34</v>
      </c>
    </row>
    <row r="9" spans="1:3" x14ac:dyDescent="0.3">
      <c r="A9" t="s">
        <v>36</v>
      </c>
      <c r="B9" s="12">
        <v>0.04</v>
      </c>
      <c r="C9" t="s">
        <v>37</v>
      </c>
    </row>
    <row r="10" spans="1:3" x14ac:dyDescent="0.3">
      <c r="A10" t="s">
        <v>38</v>
      </c>
      <c r="B10" s="12">
        <v>0.04</v>
      </c>
      <c r="C10" t="s">
        <v>37</v>
      </c>
    </row>
    <row r="11" spans="1:3" x14ac:dyDescent="0.3">
      <c r="A11" t="s">
        <v>39</v>
      </c>
      <c r="B11" s="12">
        <v>5.0000000000000001E-3</v>
      </c>
      <c r="C11" t="s">
        <v>37</v>
      </c>
    </row>
    <row r="12" spans="1:3" x14ac:dyDescent="0.3">
      <c r="A12" t="s">
        <v>40</v>
      </c>
      <c r="B12" s="12">
        <v>1.2500000000000001E-2</v>
      </c>
      <c r="C12" t="s">
        <v>37</v>
      </c>
    </row>
    <row r="13" spans="1:3" x14ac:dyDescent="0.3">
      <c r="A13" t="s">
        <v>41</v>
      </c>
      <c r="B13" s="12">
        <v>0.96</v>
      </c>
    </row>
    <row r="14" spans="1:3" x14ac:dyDescent="0.3">
      <c r="A14" t="s">
        <v>42</v>
      </c>
      <c r="B14" s="12">
        <v>0.96</v>
      </c>
    </row>
    <row r="15" spans="1:3" x14ac:dyDescent="0.3">
      <c r="A15" t="s">
        <v>43</v>
      </c>
      <c r="B15" s="13">
        <v>0.56999999999999995</v>
      </c>
    </row>
    <row r="16" spans="1:3" x14ac:dyDescent="0.3">
      <c r="A16" t="s">
        <v>44</v>
      </c>
      <c r="B16" s="14">
        <v>2</v>
      </c>
      <c r="C16" t="s">
        <v>45</v>
      </c>
    </row>
    <row r="17" spans="1:5" x14ac:dyDescent="0.3">
      <c r="A17" t="s">
        <v>46</v>
      </c>
      <c r="B17" s="12">
        <v>0.5</v>
      </c>
      <c r="C17" t="s">
        <v>37</v>
      </c>
    </row>
    <row r="18" spans="1:5" x14ac:dyDescent="0.3">
      <c r="A18" s="3" t="s">
        <v>47</v>
      </c>
      <c r="B18" s="14">
        <v>15</v>
      </c>
      <c r="C18" t="s">
        <v>48</v>
      </c>
    </row>
    <row r="19" spans="1:5" x14ac:dyDescent="0.3">
      <c r="A19" s="3" t="s">
        <v>49</v>
      </c>
      <c r="B19" s="14">
        <v>15</v>
      </c>
      <c r="C19" t="s">
        <v>48</v>
      </c>
    </row>
    <row r="20" spans="1:5" x14ac:dyDescent="0.3">
      <c r="A20" t="s">
        <v>50</v>
      </c>
      <c r="B20" s="14">
        <v>20</v>
      </c>
      <c r="C20" t="s">
        <v>48</v>
      </c>
    </row>
    <row r="21" spans="1:5" x14ac:dyDescent="0.3">
      <c r="A21" t="s">
        <v>51</v>
      </c>
      <c r="B21" s="12">
        <v>0.12</v>
      </c>
      <c r="C21" t="s">
        <v>37</v>
      </c>
    </row>
    <row r="22" spans="1:5" x14ac:dyDescent="0.3">
      <c r="A22" t="s">
        <v>52</v>
      </c>
      <c r="B22" s="15">
        <v>310</v>
      </c>
      <c r="C22" t="s">
        <v>53</v>
      </c>
    </row>
    <row r="23" spans="1:5" x14ac:dyDescent="0.3">
      <c r="A23" t="s">
        <v>54</v>
      </c>
      <c r="B23" s="15">
        <v>180</v>
      </c>
      <c r="C23" t="s">
        <v>55</v>
      </c>
    </row>
    <row r="24" spans="1:5" x14ac:dyDescent="0.3">
      <c r="A24" t="s">
        <v>56</v>
      </c>
      <c r="B24" s="16">
        <v>4</v>
      </c>
      <c r="C24" t="s">
        <v>57</v>
      </c>
    </row>
    <row r="25" spans="1:5" x14ac:dyDescent="0.3">
      <c r="A25" s="3" t="s">
        <v>58</v>
      </c>
      <c r="B25" s="14">
        <v>2026</v>
      </c>
      <c r="C25" t="s">
        <v>59</v>
      </c>
    </row>
    <row r="26" spans="1:5" x14ac:dyDescent="0.3">
      <c r="A26" s="3" t="s">
        <v>60</v>
      </c>
      <c r="B26" s="14">
        <v>2032</v>
      </c>
      <c r="C26" t="s">
        <v>59</v>
      </c>
    </row>
    <row r="29" spans="1:5" x14ac:dyDescent="0.3">
      <c r="A29" s="1" t="s">
        <v>61</v>
      </c>
    </row>
    <row r="30" spans="1:5" x14ac:dyDescent="0.3">
      <c r="A30" s="17" t="s">
        <v>1</v>
      </c>
      <c r="B30" s="17" t="s">
        <v>62</v>
      </c>
      <c r="C30" s="17" t="s">
        <v>63</v>
      </c>
      <c r="D30" s="17" t="s">
        <v>64</v>
      </c>
      <c r="E30" s="17" t="s">
        <v>65</v>
      </c>
    </row>
    <row r="31" spans="1:5" x14ac:dyDescent="0.3">
      <c r="A31" t="s">
        <v>18</v>
      </c>
      <c r="B31" t="s">
        <v>66</v>
      </c>
      <c r="C31" t="s">
        <v>67</v>
      </c>
      <c r="D31">
        <v>1660</v>
      </c>
      <c r="E31" t="s">
        <v>68</v>
      </c>
    </row>
    <row r="32" spans="1:5" x14ac:dyDescent="0.3">
      <c r="A32" t="s">
        <v>21</v>
      </c>
      <c r="B32" t="s">
        <v>66</v>
      </c>
      <c r="C32" t="s">
        <v>67</v>
      </c>
      <c r="D32">
        <v>1660</v>
      </c>
      <c r="E32" t="s">
        <v>68</v>
      </c>
    </row>
    <row r="33" spans="1:5" x14ac:dyDescent="0.3">
      <c r="A33" t="s">
        <v>22</v>
      </c>
      <c r="B33" t="s">
        <v>66</v>
      </c>
      <c r="C33" t="s">
        <v>67</v>
      </c>
      <c r="D33">
        <v>1660</v>
      </c>
      <c r="E33" t="s">
        <v>68</v>
      </c>
    </row>
    <row r="36" spans="1:5" x14ac:dyDescent="0.3">
      <c r="A36" s="1" t="s">
        <v>69</v>
      </c>
    </row>
    <row r="37" spans="1:5" x14ac:dyDescent="0.3">
      <c r="A37" t="s">
        <v>70</v>
      </c>
    </row>
    <row r="38" spans="1:5" x14ac:dyDescent="0.3">
      <c r="A38" t="s">
        <v>71</v>
      </c>
    </row>
    <row r="39" spans="1:5" x14ac:dyDescent="0.3">
      <c r="A39" t="s">
        <v>72</v>
      </c>
    </row>
    <row r="40" spans="1:5" x14ac:dyDescent="0.3">
      <c r="A40" t="s">
        <v>73</v>
      </c>
    </row>
    <row r="41" spans="1:5" x14ac:dyDescent="0.3">
      <c r="A41" t="s">
        <v>74</v>
      </c>
    </row>
    <row r="42" spans="1:5" x14ac:dyDescent="0.3">
      <c r="A42" t="s">
        <v>75</v>
      </c>
    </row>
    <row r="43" spans="1:5" x14ac:dyDescent="0.3">
      <c r="A43" t="s">
        <v>76</v>
      </c>
    </row>
    <row r="44" spans="1:5" x14ac:dyDescent="0.3">
      <c r="A44" t="s">
        <v>77</v>
      </c>
    </row>
    <row r="45" spans="1:5" x14ac:dyDescent="0.3">
      <c r="A45" t="s">
        <v>78</v>
      </c>
    </row>
    <row r="46" spans="1:5" x14ac:dyDescent="0.3">
      <c r="A46" t="s">
        <v>79</v>
      </c>
    </row>
    <row r="47" spans="1:5" x14ac:dyDescent="0.3">
      <c r="A47" t="s">
        <v>80</v>
      </c>
    </row>
    <row r="48" spans="1:5" x14ac:dyDescent="0.3">
      <c r="A48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18" width="14" customWidth="1"/>
  </cols>
  <sheetData>
    <row r="1" spans="1:14" x14ac:dyDescent="0.3">
      <c r="A1" s="1" t="s">
        <v>82</v>
      </c>
    </row>
    <row r="3" spans="1:14" x14ac:dyDescent="0.3">
      <c r="A3" s="1" t="s">
        <v>83</v>
      </c>
    </row>
    <row r="4" spans="1:14" x14ac:dyDescent="0.3">
      <c r="A4" s="17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17" t="s">
        <v>97</v>
      </c>
    </row>
    <row r="5" spans="1:14" x14ac:dyDescent="0.3">
      <c r="A5" t="s">
        <v>98</v>
      </c>
      <c r="B5" s="4">
        <v>546627</v>
      </c>
      <c r="C5" s="4">
        <v>467527</v>
      </c>
      <c r="D5" s="4">
        <v>414209</v>
      </c>
      <c r="E5" s="4">
        <v>511027</v>
      </c>
      <c r="F5" s="4">
        <v>471225</v>
      </c>
      <c r="G5" s="4">
        <v>435183</v>
      </c>
      <c r="H5" s="4">
        <v>431457</v>
      </c>
      <c r="I5" s="4">
        <v>395911</v>
      </c>
      <c r="J5" s="4">
        <v>455237</v>
      </c>
      <c r="K5" s="4">
        <v>476589</v>
      </c>
      <c r="L5" s="4">
        <v>535513</v>
      </c>
      <c r="M5" s="4">
        <v>497333</v>
      </c>
      <c r="N5" s="9">
        <f>SUM(B5:M5)</f>
        <v>5637838</v>
      </c>
    </row>
    <row r="6" spans="1:14" x14ac:dyDescent="0.3">
      <c r="A6" t="s">
        <v>99</v>
      </c>
      <c r="B6" s="4">
        <v>924218</v>
      </c>
      <c r="C6" s="4">
        <v>810870</v>
      </c>
      <c r="D6" s="4">
        <v>746631</v>
      </c>
      <c r="E6" s="4">
        <v>868483</v>
      </c>
      <c r="F6" s="4">
        <v>799977</v>
      </c>
      <c r="G6" s="4">
        <v>788394</v>
      </c>
      <c r="H6" s="4">
        <v>617240</v>
      </c>
      <c r="I6" s="4">
        <v>618556</v>
      </c>
      <c r="J6" s="4">
        <v>729971</v>
      </c>
      <c r="K6" s="4">
        <v>681958</v>
      </c>
      <c r="L6" s="4">
        <v>750251</v>
      </c>
      <c r="M6" s="4">
        <v>867045</v>
      </c>
      <c r="N6" s="9">
        <f>SUM(B6:M6)</f>
        <v>9203594</v>
      </c>
    </row>
    <row r="7" spans="1:14" x14ac:dyDescent="0.3">
      <c r="A7" t="s">
        <v>100</v>
      </c>
      <c r="B7" s="4">
        <v>89553</v>
      </c>
      <c r="C7" s="4">
        <v>82141</v>
      </c>
      <c r="D7" s="4">
        <v>74300</v>
      </c>
      <c r="E7" s="4">
        <v>84864</v>
      </c>
      <c r="F7" s="4">
        <v>80458</v>
      </c>
      <c r="G7" s="4">
        <v>98384</v>
      </c>
      <c r="H7" s="4">
        <v>150654</v>
      </c>
      <c r="I7" s="4">
        <v>146212</v>
      </c>
      <c r="J7" s="4">
        <v>183178</v>
      </c>
      <c r="K7" s="4">
        <v>167798</v>
      </c>
      <c r="L7" s="4">
        <v>182294</v>
      </c>
      <c r="M7" s="4">
        <v>108027</v>
      </c>
      <c r="N7" s="9">
        <f>SUM(B7:M7)</f>
        <v>1447863</v>
      </c>
    </row>
    <row r="8" spans="1:14" x14ac:dyDescent="0.3">
      <c r="A8" t="s">
        <v>101</v>
      </c>
      <c r="B8" s="4">
        <f t="shared" ref="B8:M8" si="0">SUM(B5:B7)</f>
        <v>1560398</v>
      </c>
      <c r="C8" s="4">
        <f t="shared" si="0"/>
        <v>1360538</v>
      </c>
      <c r="D8" s="4">
        <f t="shared" si="0"/>
        <v>1235140</v>
      </c>
      <c r="E8" s="4">
        <f t="shared" si="0"/>
        <v>1464374</v>
      </c>
      <c r="F8" s="4">
        <f t="shared" si="0"/>
        <v>1351660</v>
      </c>
      <c r="G8" s="4">
        <f t="shared" si="0"/>
        <v>1321961</v>
      </c>
      <c r="H8" s="4">
        <f t="shared" si="0"/>
        <v>1199351</v>
      </c>
      <c r="I8" s="4">
        <f t="shared" si="0"/>
        <v>1160679</v>
      </c>
      <c r="J8" s="4">
        <f t="shared" si="0"/>
        <v>1368386</v>
      </c>
      <c r="K8" s="4">
        <f t="shared" si="0"/>
        <v>1326345</v>
      </c>
      <c r="L8" s="4">
        <f t="shared" si="0"/>
        <v>1468058</v>
      </c>
      <c r="M8" s="4">
        <f t="shared" si="0"/>
        <v>1472405</v>
      </c>
      <c r="N8" s="9">
        <f>SUM(B8:M8)</f>
        <v>16289295</v>
      </c>
    </row>
    <row r="9" spans="1:14" x14ac:dyDescent="0.3">
      <c r="A9" t="s">
        <v>102</v>
      </c>
      <c r="B9" s="4">
        <v>1654</v>
      </c>
      <c r="C9" s="4">
        <v>1465</v>
      </c>
      <c r="D9" s="4">
        <v>1582</v>
      </c>
      <c r="E9" s="4">
        <v>1515</v>
      </c>
      <c r="F9" s="4">
        <v>2279</v>
      </c>
      <c r="G9" s="4">
        <v>1750</v>
      </c>
      <c r="H9" s="4">
        <v>2026</v>
      </c>
      <c r="I9" s="4">
        <v>2124</v>
      </c>
      <c r="J9" s="4">
        <v>1892</v>
      </c>
      <c r="K9" s="4">
        <v>1903</v>
      </c>
      <c r="L9" s="4">
        <v>1771</v>
      </c>
      <c r="M9" s="4">
        <v>1579</v>
      </c>
      <c r="N9" s="9">
        <f>MAX(B9:M9)</f>
        <v>2279</v>
      </c>
    </row>
    <row r="10" spans="1:14" x14ac:dyDescent="0.3">
      <c r="A10" t="s">
        <v>103</v>
      </c>
      <c r="B10" s="4">
        <v>1700</v>
      </c>
      <c r="C10" s="4">
        <v>1532</v>
      </c>
      <c r="D10" s="4">
        <v>1672</v>
      </c>
      <c r="E10" s="4">
        <v>1568</v>
      </c>
      <c r="F10" s="4">
        <v>2356</v>
      </c>
      <c r="G10" s="4">
        <v>1832</v>
      </c>
      <c r="H10" s="4">
        <v>2026</v>
      </c>
      <c r="I10" s="4">
        <v>2124</v>
      </c>
      <c r="J10" s="4">
        <v>1930</v>
      </c>
      <c r="K10" s="4">
        <v>1936</v>
      </c>
      <c r="L10" s="4">
        <v>1793</v>
      </c>
      <c r="M10" s="4">
        <v>1622</v>
      </c>
      <c r="N10" s="9">
        <f>MAX(B10:M10)</f>
        <v>2356</v>
      </c>
    </row>
    <row r="11" spans="1:14" x14ac:dyDescent="0.3">
      <c r="A11" t="s">
        <v>104</v>
      </c>
      <c r="B11" s="18">
        <v>22</v>
      </c>
      <c r="C11" s="18">
        <v>21</v>
      </c>
      <c r="D11" s="18">
        <v>23</v>
      </c>
      <c r="E11" s="18">
        <v>21</v>
      </c>
      <c r="F11" s="18">
        <v>22</v>
      </c>
      <c r="G11" s="18">
        <v>23</v>
      </c>
      <c r="H11" s="18">
        <v>25</v>
      </c>
      <c r="I11" s="18">
        <v>27</v>
      </c>
      <c r="J11" s="18">
        <v>27</v>
      </c>
      <c r="K11" s="18">
        <v>24</v>
      </c>
      <c r="L11" s="18">
        <v>26</v>
      </c>
      <c r="M11" s="18">
        <v>23</v>
      </c>
    </row>
    <row r="12" spans="1:14" x14ac:dyDescent="0.3">
      <c r="A12" t="s">
        <v>105</v>
      </c>
      <c r="B12" s="19">
        <v>2</v>
      </c>
      <c r="C12" s="19">
        <v>2</v>
      </c>
      <c r="D12" s="19">
        <v>2</v>
      </c>
      <c r="E12" s="19">
        <v>2</v>
      </c>
      <c r="F12" s="19">
        <v>2</v>
      </c>
      <c r="G12" s="19">
        <v>2.4300000000000002</v>
      </c>
      <c r="H12" s="19">
        <v>3.6</v>
      </c>
      <c r="I12" s="19">
        <v>3.7</v>
      </c>
      <c r="J12" s="19">
        <v>3.63</v>
      </c>
      <c r="K12" s="19">
        <v>3.67</v>
      </c>
      <c r="L12" s="19">
        <v>3.69</v>
      </c>
      <c r="M12" s="19">
        <v>2.2599999999999998</v>
      </c>
    </row>
    <row r="13" spans="1:14" x14ac:dyDescent="0.3">
      <c r="A13" t="s">
        <v>106</v>
      </c>
      <c r="B13" s="18">
        <v>31</v>
      </c>
      <c r="C13" s="18">
        <v>30</v>
      </c>
      <c r="D13" s="18">
        <v>31</v>
      </c>
      <c r="E13" s="18">
        <v>31</v>
      </c>
      <c r="F13" s="18">
        <v>30</v>
      </c>
      <c r="G13" s="18">
        <v>31</v>
      </c>
      <c r="H13" s="18">
        <v>30</v>
      </c>
      <c r="I13" s="18">
        <v>31</v>
      </c>
      <c r="J13" s="18">
        <v>31</v>
      </c>
      <c r="K13" s="18">
        <v>28</v>
      </c>
      <c r="L13" s="18">
        <v>31</v>
      </c>
      <c r="M13" s="18">
        <v>30</v>
      </c>
    </row>
    <row r="14" spans="1:14" x14ac:dyDescent="0.3">
      <c r="A14" t="s">
        <v>107</v>
      </c>
      <c r="B14" s="8">
        <v>1.1749000000000001</v>
      </c>
      <c r="C14" s="8">
        <v>1.1982999999999999</v>
      </c>
      <c r="D14" s="8">
        <v>1.2133</v>
      </c>
      <c r="E14" s="8">
        <v>1.2146999999999999</v>
      </c>
      <c r="F14" s="8">
        <v>1.2095</v>
      </c>
      <c r="G14" s="8">
        <v>1.2095</v>
      </c>
      <c r="H14" s="8">
        <v>1.1791</v>
      </c>
      <c r="I14" s="8">
        <v>1.1301000000000001</v>
      </c>
      <c r="J14" s="8">
        <v>1.1060000000000001</v>
      </c>
      <c r="K14" s="8">
        <v>1.1065</v>
      </c>
      <c r="L14" s="8">
        <v>1.1071</v>
      </c>
      <c r="M14" s="8">
        <v>1.107</v>
      </c>
    </row>
    <row r="15" spans="1:14" x14ac:dyDescent="0.3">
      <c r="A15" t="s">
        <v>108</v>
      </c>
      <c r="B15" s="8">
        <v>1.9421999999999999</v>
      </c>
      <c r="C15" s="8">
        <v>1.9837</v>
      </c>
      <c r="D15" s="8">
        <v>2.0106000000000002</v>
      </c>
      <c r="E15" s="8">
        <v>2.0131000000000001</v>
      </c>
      <c r="F15" s="8">
        <v>2.0005000000000002</v>
      </c>
      <c r="G15" s="8">
        <v>2.0005999999999999</v>
      </c>
      <c r="H15" s="8">
        <v>1.9463999999999999</v>
      </c>
      <c r="I15" s="8">
        <v>1.859</v>
      </c>
      <c r="J15" s="8">
        <v>1.8185</v>
      </c>
      <c r="K15" s="8">
        <v>1.8193999999999999</v>
      </c>
      <c r="L15" s="8">
        <v>1.8204</v>
      </c>
      <c r="M15" s="8">
        <v>1.8204</v>
      </c>
    </row>
    <row r="16" spans="1:14" x14ac:dyDescent="0.3">
      <c r="A16" t="s">
        <v>109</v>
      </c>
      <c r="B16" s="8">
        <v>2.2730000000000001</v>
      </c>
      <c r="C16" s="8">
        <v>2.3224</v>
      </c>
      <c r="D16" s="8">
        <v>2.3544</v>
      </c>
      <c r="E16" s="8">
        <v>2.3574000000000002</v>
      </c>
      <c r="F16" s="8">
        <v>2.3416999999999999</v>
      </c>
      <c r="G16" s="8">
        <v>2.3416999999999999</v>
      </c>
      <c r="H16" s="8">
        <v>2.2772999999999999</v>
      </c>
      <c r="I16" s="8">
        <v>2.1734</v>
      </c>
      <c r="J16" s="8">
        <v>2.1257999999999999</v>
      </c>
      <c r="K16" s="8">
        <v>2.1269</v>
      </c>
      <c r="L16" s="8">
        <v>2.1280999999999999</v>
      </c>
      <c r="M16" s="8">
        <v>2.1280000000000001</v>
      </c>
    </row>
    <row r="17" spans="1:14" x14ac:dyDescent="0.3">
      <c r="A17" t="s">
        <v>110</v>
      </c>
      <c r="B17" s="20">
        <v>432.62</v>
      </c>
      <c r="C17" s="20">
        <v>442.9</v>
      </c>
      <c r="D17" s="20">
        <v>449.54</v>
      </c>
      <c r="E17" s="20">
        <v>450.17</v>
      </c>
      <c r="F17" s="20">
        <v>446.05</v>
      </c>
      <c r="G17" s="20">
        <v>446.05</v>
      </c>
      <c r="H17" s="20">
        <v>432.66</v>
      </c>
      <c r="I17" s="20">
        <v>411.03</v>
      </c>
      <c r="J17" s="20">
        <v>401.78</v>
      </c>
      <c r="K17" s="20">
        <v>402.01</v>
      </c>
      <c r="L17" s="20">
        <v>402.26</v>
      </c>
      <c r="M17" s="20">
        <v>402.24</v>
      </c>
    </row>
    <row r="18" spans="1:14" x14ac:dyDescent="0.3">
      <c r="A18" t="s">
        <v>111</v>
      </c>
      <c r="B18" s="20">
        <v>91.12</v>
      </c>
      <c r="C18" s="20">
        <v>91.12</v>
      </c>
      <c r="D18" s="20">
        <v>91.12</v>
      </c>
      <c r="E18" s="20">
        <v>91.12</v>
      </c>
      <c r="F18" s="20">
        <v>91.12</v>
      </c>
      <c r="G18" s="20">
        <v>91.12</v>
      </c>
      <c r="H18" s="20">
        <v>91.12</v>
      </c>
      <c r="I18" s="20">
        <v>91.12</v>
      </c>
      <c r="J18" s="20">
        <v>86.15</v>
      </c>
      <c r="K18" s="20">
        <v>86.15</v>
      </c>
      <c r="L18" s="20">
        <v>86.15</v>
      </c>
      <c r="M18" s="20">
        <v>86.15</v>
      </c>
    </row>
    <row r="19" spans="1:14" x14ac:dyDescent="0.3">
      <c r="A19" t="s">
        <v>112</v>
      </c>
      <c r="B19" s="4">
        <v>3302499.811699999</v>
      </c>
      <c r="C19" s="4">
        <v>2709232.8026000001</v>
      </c>
      <c r="D19" s="4">
        <v>2381024.9207000001</v>
      </c>
      <c r="E19" s="4">
        <v>2985577.7922999999</v>
      </c>
      <c r="F19" s="4">
        <v>2695900.3064000001</v>
      </c>
      <c r="G19" s="4">
        <v>2651342.2185</v>
      </c>
      <c r="H19" s="4">
        <v>2280746.0868000002</v>
      </c>
      <c r="I19" s="4">
        <v>2132953.8966999999</v>
      </c>
      <c r="J19" s="4">
        <v>2570565.290599999</v>
      </c>
      <c r="K19" s="4">
        <v>2521062.3812000002</v>
      </c>
      <c r="L19" s="4">
        <v>2806680.9201000002</v>
      </c>
      <c r="M19" s="4">
        <v>3140742.7817000002</v>
      </c>
      <c r="N19" s="9">
        <f>SUM(B19:M19)</f>
        <v>32178329.2093</v>
      </c>
    </row>
    <row r="20" spans="1:14" x14ac:dyDescent="0.3">
      <c r="A20" t="s">
        <v>113</v>
      </c>
      <c r="B20" s="4">
        <f>B8/(24*B13*Supuestos!$B$15)</f>
        <v>3679.4897189209582</v>
      </c>
      <c r="C20" s="4">
        <f>C8/(24*C13*Supuestos!$B$15)</f>
        <v>3315.1510721247564</v>
      </c>
      <c r="D20" s="4">
        <f>D8/(24*D13*Supuestos!$B$15)</f>
        <v>2912.5165063195623</v>
      </c>
      <c r="E20" s="4">
        <f>E8/(24*E13*Supuestos!$B$15)</f>
        <v>3453.0607432559896</v>
      </c>
      <c r="F20" s="4">
        <f>F8/(24*F13*Supuestos!$B$15)</f>
        <v>3293.5185185185187</v>
      </c>
      <c r="G20" s="4">
        <f>G8/(24*G13*Supuestos!$B$15)</f>
        <v>3117.2443878513491</v>
      </c>
      <c r="H20" s="4">
        <f>H8/(24*H13*Supuestos!$B$15)</f>
        <v>2922.3952241715401</v>
      </c>
      <c r="I20" s="4">
        <f>I8/(24*I13*Supuestos!$B$15)</f>
        <v>2736.934069043577</v>
      </c>
      <c r="J20" s="4">
        <f>J8/(24*J13*Supuestos!$B$15)</f>
        <v>3226.716657234484</v>
      </c>
      <c r="K20" s="4">
        <f>K8/(24*K13*Supuestos!$B$15)</f>
        <v>3462.6801378446116</v>
      </c>
      <c r="L20" s="4">
        <f>L8/(24*L13*Supuestos!$B$15)</f>
        <v>3461.7477834370875</v>
      </c>
      <c r="M20" s="4">
        <f>M8/(24*M13*Supuestos!$B$15)</f>
        <v>3587.7314814814818</v>
      </c>
    </row>
    <row r="21" spans="1:14" x14ac:dyDescent="0.3">
      <c r="A21" t="s">
        <v>114</v>
      </c>
      <c r="B21" s="21">
        <v>143.096</v>
      </c>
      <c r="C21" s="21">
        <v>133.91999999999999</v>
      </c>
      <c r="D21" s="21">
        <v>135.16</v>
      </c>
      <c r="E21" s="21">
        <v>126.48</v>
      </c>
      <c r="F21" s="21">
        <v>119.52</v>
      </c>
      <c r="G21" s="21">
        <v>131.68799999999999</v>
      </c>
      <c r="H21" s="21">
        <v>136.56</v>
      </c>
      <c r="I21" s="21">
        <v>130.94399999999999</v>
      </c>
      <c r="J21" s="21">
        <v>142.84800000000001</v>
      </c>
      <c r="K21" s="21">
        <v>139.10400000000001</v>
      </c>
      <c r="L21" s="21">
        <v>170.12799999999999</v>
      </c>
      <c r="M21" s="21">
        <v>150.72</v>
      </c>
      <c r="N21" s="22">
        <f>SUM(B21:M21)</f>
        <v>1660.1679999999999</v>
      </c>
    </row>
    <row r="23" spans="1:14" x14ac:dyDescent="0.3">
      <c r="A23" s="1" t="s">
        <v>115</v>
      </c>
    </row>
    <row r="24" spans="1:14" x14ac:dyDescent="0.3">
      <c r="A24" s="17" t="s">
        <v>116</v>
      </c>
      <c r="C24" s="2" t="s">
        <v>117</v>
      </c>
      <c r="D24" s="2" t="s">
        <v>118</v>
      </c>
    </row>
    <row r="25" spans="1:14" x14ac:dyDescent="0.3">
      <c r="A25" t="s">
        <v>119</v>
      </c>
      <c r="C25" t="s">
        <v>120</v>
      </c>
      <c r="D25" t="s">
        <v>121</v>
      </c>
    </row>
    <row r="26" spans="1:14" x14ac:dyDescent="0.3">
      <c r="A26" t="s">
        <v>122</v>
      </c>
      <c r="C26" s="23">
        <v>681.2</v>
      </c>
      <c r="D26" s="23">
        <v>839.45</v>
      </c>
    </row>
    <row r="27" spans="1:14" x14ac:dyDescent="0.3">
      <c r="A27" t="s">
        <v>123</v>
      </c>
      <c r="C27" s="4">
        <f>C26*Supuestos!$B$24</f>
        <v>2724.8</v>
      </c>
      <c r="D27" s="4">
        <f>D26*Supuestos!$B$24</f>
        <v>3357.8</v>
      </c>
    </row>
    <row r="28" spans="1:14" x14ac:dyDescent="0.3">
      <c r="A28" t="s">
        <v>124</v>
      </c>
      <c r="C28" s="23">
        <v>2080</v>
      </c>
      <c r="D28" s="23">
        <v>2080</v>
      </c>
    </row>
    <row r="29" spans="1:14" x14ac:dyDescent="0.3">
      <c r="A29" t="s">
        <v>125</v>
      </c>
      <c r="C29" s="23">
        <v>4159</v>
      </c>
      <c r="D29" s="23">
        <v>4159</v>
      </c>
    </row>
    <row r="30" spans="1:14" x14ac:dyDescent="0.3">
      <c r="A30" t="s">
        <v>126</v>
      </c>
      <c r="C30" s="4">
        <f>C29*Supuestos!$B$13*SQRT(Supuestos!$B$14)</f>
        <v>3911.9722906503312</v>
      </c>
      <c r="D30" s="4">
        <f>D29*Supuestos!$B$13*SQRT(Supuestos!$B$14)</f>
        <v>3911.9722906503312</v>
      </c>
    </row>
    <row r="31" spans="1:14" x14ac:dyDescent="0.3">
      <c r="A31" t="s">
        <v>127</v>
      </c>
      <c r="C31" s="24">
        <v>1.3526645380146771</v>
      </c>
      <c r="D31" s="24">
        <v>1.6148562209476132</v>
      </c>
    </row>
    <row r="32" spans="1:14" x14ac:dyDescent="0.3">
      <c r="A32" t="s">
        <v>128</v>
      </c>
      <c r="C32" s="7">
        <f>Supuestos!$B$17</f>
        <v>0.5</v>
      </c>
      <c r="D32" s="7">
        <f>Supuestos!$B$17</f>
        <v>0.5</v>
      </c>
    </row>
    <row r="33" spans="1:4" x14ac:dyDescent="0.3">
      <c r="A33" t="s">
        <v>129</v>
      </c>
      <c r="C33" s="4">
        <f>C26*1000*Supuestos!$B$5</f>
        <v>442780</v>
      </c>
      <c r="D33" s="4">
        <f>D26*1000*Supuestos!$B$5</f>
        <v>545642.5</v>
      </c>
    </row>
    <row r="34" spans="1:4" x14ac:dyDescent="0.3">
      <c r="A34" t="s">
        <v>130</v>
      </c>
      <c r="C34" s="4">
        <f>C33*Supuestos!$B$4</f>
        <v>7770789</v>
      </c>
      <c r="D34" s="4">
        <f>D33*Supuestos!$B$4</f>
        <v>9576025.875</v>
      </c>
    </row>
    <row r="35" spans="1:4" x14ac:dyDescent="0.3">
      <c r="A35" t="s">
        <v>131</v>
      </c>
      <c r="C35" s="4">
        <f>C29*1000*Supuestos!$B$7</f>
        <v>1164520</v>
      </c>
      <c r="D35" s="4">
        <f>D29*1000*Supuestos!$B$7</f>
        <v>1164520</v>
      </c>
    </row>
    <row r="36" spans="1:4" x14ac:dyDescent="0.3">
      <c r="A36" t="s">
        <v>132</v>
      </c>
      <c r="C36" s="4">
        <f>C35*Supuestos!$B$4</f>
        <v>20437326</v>
      </c>
      <c r="D36" s="4">
        <f>D35*Supuestos!$B$4</f>
        <v>20437326</v>
      </c>
    </row>
    <row r="37" spans="1:4" x14ac:dyDescent="0.3">
      <c r="A37" s="25" t="s">
        <v>133</v>
      </c>
      <c r="B37" s="26"/>
      <c r="C37" s="26"/>
      <c r="D37" s="26"/>
    </row>
    <row r="38" spans="1:4" x14ac:dyDescent="0.3">
      <c r="A38" t="s">
        <v>134</v>
      </c>
      <c r="C38" s="23">
        <v>7886060.9072246766</v>
      </c>
      <c r="D38" s="4">
        <f>C38</f>
        <v>7886060.9072246766</v>
      </c>
    </row>
    <row r="39" spans="1:4" x14ac:dyDescent="0.3">
      <c r="A39" t="s">
        <v>135</v>
      </c>
      <c r="C39" s="23">
        <f>$N$19+C38</f>
        <v>40064390.116524674</v>
      </c>
      <c r="D39" s="23">
        <f>$N$19+D38</f>
        <v>40064390.116524674</v>
      </c>
    </row>
    <row r="40" spans="1:4" x14ac:dyDescent="0.3">
      <c r="A40" t="s">
        <v>136</v>
      </c>
      <c r="C40" s="4">
        <f>C39-C38</f>
        <v>32178329.209299996</v>
      </c>
      <c r="D40" s="4">
        <f>D39-D38</f>
        <v>32178329.209299996</v>
      </c>
    </row>
    <row r="41" spans="1:4" x14ac:dyDescent="0.3">
      <c r="A41" t="s">
        <v>137</v>
      </c>
      <c r="C41" s="4">
        <f>C72</f>
        <v>1130906.4416</v>
      </c>
      <c r="D41" s="4">
        <f>C89</f>
        <v>1393628.0276000001</v>
      </c>
    </row>
    <row r="42" spans="1:4" x14ac:dyDescent="0.3">
      <c r="A42" t="s">
        <v>138</v>
      </c>
      <c r="C42" s="4">
        <f>K72</f>
        <v>1130906.4416006971</v>
      </c>
      <c r="D42" s="4">
        <f>K89</f>
        <v>1393628.0276015038</v>
      </c>
    </row>
    <row r="43" spans="1:4" x14ac:dyDescent="0.3">
      <c r="A43" t="s">
        <v>139</v>
      </c>
      <c r="C43" s="4">
        <f>M72</f>
        <v>2044419.0583522562</v>
      </c>
      <c r="D43" s="4">
        <f>M89</f>
        <v>2519359.8322272613</v>
      </c>
    </row>
    <row r="44" spans="1:4" x14ac:dyDescent="0.3">
      <c r="A44" t="s">
        <v>140</v>
      </c>
      <c r="C44" s="4">
        <f>R72*(12-Supuestos!$B$16)/12</f>
        <v>6735747.4143077945</v>
      </c>
      <c r="D44" s="4">
        <f>R89*(12-Supuestos!$B$16)/12</f>
        <v>6735747.4143077945</v>
      </c>
    </row>
    <row r="45" spans="1:4" x14ac:dyDescent="0.3">
      <c r="A45" s="3" t="s">
        <v>141</v>
      </c>
      <c r="C45" s="6">
        <f>C43+C44</f>
        <v>8780166.4726600498</v>
      </c>
      <c r="D45" s="6">
        <f>D43+D44</f>
        <v>9255107.2465350553</v>
      </c>
    </row>
    <row r="46" spans="1:4" x14ac:dyDescent="0.3">
      <c r="A46" t="s">
        <v>142</v>
      </c>
      <c r="C46" s="4">
        <f>C42*C31</f>
        <v>1249199.25539213</v>
      </c>
      <c r="D46" s="4">
        <f>D42*D31</f>
        <v>1539401.5192886211</v>
      </c>
    </row>
    <row r="47" spans="1:4" x14ac:dyDescent="0.3">
      <c r="A47" t="s">
        <v>143</v>
      </c>
      <c r="C47" s="4">
        <f>C44*C32</f>
        <v>3367873.7071538973</v>
      </c>
      <c r="D47" s="4">
        <f>D44*D32</f>
        <v>3367873.7071538973</v>
      </c>
    </row>
    <row r="48" spans="1:4" x14ac:dyDescent="0.3">
      <c r="A48" s="3" t="s">
        <v>144</v>
      </c>
      <c r="C48" s="6">
        <f>C45-C46-C47</f>
        <v>4163093.5101140221</v>
      </c>
      <c r="D48" s="6">
        <f>D45-D46-D47</f>
        <v>4347832.0200925376</v>
      </c>
    </row>
    <row r="49" spans="1:20" x14ac:dyDescent="0.3">
      <c r="A49" t="s">
        <v>145</v>
      </c>
      <c r="C49" s="7">
        <f>C45/$N$19</f>
        <v>0.27285961354769334</v>
      </c>
      <c r="D49" s="7">
        <f>D45/$N$19</f>
        <v>0.28761926035178348</v>
      </c>
    </row>
    <row r="50" spans="1:20" x14ac:dyDescent="0.3">
      <c r="A50" t="s">
        <v>146</v>
      </c>
      <c r="C50" s="7">
        <f>C48/$N$19</f>
        <v>0.12937568893138268</v>
      </c>
      <c r="D50" s="7">
        <f>D48/$N$19</f>
        <v>0.13511677352209919</v>
      </c>
    </row>
    <row r="51" spans="1:20" x14ac:dyDescent="0.3">
      <c r="A51" t="s">
        <v>147</v>
      </c>
      <c r="C51" s="7">
        <f>IRR(M94:M114)</f>
        <v>0.14109903208916674</v>
      </c>
      <c r="D51" s="7">
        <f>IRR(M119:M139)</f>
        <v>0.14109903208926866</v>
      </c>
    </row>
    <row r="52" spans="1:20" x14ac:dyDescent="0.3">
      <c r="A52" t="s">
        <v>148</v>
      </c>
      <c r="C52" s="7">
        <f>IRR(N94:N114)</f>
        <v>0.13491917345168702</v>
      </c>
      <c r="D52" s="7">
        <f>IRR(N119:N139)</f>
        <v>0.13491917345168702</v>
      </c>
    </row>
    <row r="53" spans="1:20" x14ac:dyDescent="0.3">
      <c r="A53" t="s">
        <v>149</v>
      </c>
      <c r="C53" s="7">
        <v>0.5655</v>
      </c>
      <c r="D53" s="7">
        <v>0.5655</v>
      </c>
    </row>
    <row r="54" spans="1:20" x14ac:dyDescent="0.3">
      <c r="A54" t="s">
        <v>150</v>
      </c>
      <c r="C54" s="18">
        <f>COUNTIF(O94:O114,"&lt;0")</f>
        <v>7</v>
      </c>
      <c r="D54" s="18">
        <f>COUNTIF(O119:O139,"&lt;0")</f>
        <v>7</v>
      </c>
    </row>
    <row r="55" spans="1:20" x14ac:dyDescent="0.3">
      <c r="A55" t="s">
        <v>151</v>
      </c>
      <c r="C55" s="4">
        <f>NPV(Supuestos!$B$21,J95:J114)</f>
        <v>50014372.080996223</v>
      </c>
      <c r="D55" s="4">
        <f>NPV(Supuestos!$B$21,J120:J139)</f>
        <v>52602249.211481348</v>
      </c>
    </row>
    <row r="58" spans="1:20" x14ac:dyDescent="0.3">
      <c r="A58" s="1" t="s">
        <v>152</v>
      </c>
    </row>
    <row r="59" spans="1:20" x14ac:dyDescent="0.3">
      <c r="B59" s="2" t="s">
        <v>84</v>
      </c>
      <c r="C59" s="2" t="s">
        <v>153</v>
      </c>
      <c r="D59" s="2" t="s">
        <v>154</v>
      </c>
      <c r="E59" s="2" t="s">
        <v>155</v>
      </c>
      <c r="F59" s="2" t="s">
        <v>156</v>
      </c>
      <c r="G59" s="2" t="s">
        <v>157</v>
      </c>
      <c r="H59" s="2" t="s">
        <v>158</v>
      </c>
      <c r="I59" s="2" t="s">
        <v>159</v>
      </c>
      <c r="J59" s="2" t="s">
        <v>160</v>
      </c>
      <c r="K59" s="2" t="s">
        <v>161</v>
      </c>
      <c r="L59" s="2" t="s">
        <v>220</v>
      </c>
      <c r="M59" s="2" t="s">
        <v>162</v>
      </c>
      <c r="N59" s="2" t="s">
        <v>163</v>
      </c>
      <c r="O59" s="2" t="s">
        <v>164</v>
      </c>
      <c r="P59" s="2" t="s">
        <v>165</v>
      </c>
      <c r="Q59" s="2" t="s">
        <v>221</v>
      </c>
      <c r="R59" s="2" t="s">
        <v>166</v>
      </c>
      <c r="S59" s="27" t="s">
        <v>222</v>
      </c>
      <c r="T59" s="27" t="s">
        <v>223</v>
      </c>
    </row>
    <row r="60" spans="1:20" x14ac:dyDescent="0.3">
      <c r="B60" t="s">
        <v>85</v>
      </c>
      <c r="C60" s="4">
        <f>$C$26*B$21</f>
        <v>97476.995200000005</v>
      </c>
      <c r="D60" s="7">
        <v>0.12903214092475521</v>
      </c>
      <c r="E60" s="7">
        <v>0.87096785907524488</v>
      </c>
      <c r="F60" s="7">
        <v>0</v>
      </c>
      <c r="G60" s="4">
        <f t="shared" ref="G60:G71" si="1">C60*D60</f>
        <v>12577.665381568087</v>
      </c>
      <c r="H60" s="4">
        <f t="shared" ref="H60:H71" si="2">C60*E60</f>
        <v>84899.329818431928</v>
      </c>
      <c r="I60" s="4">
        <f t="shared" ref="I60:I71" si="3">C60*F60</f>
        <v>0</v>
      </c>
      <c r="J60" s="4">
        <f>G60*B$14+H60*B$15+I60*B$16</f>
        <v>179668.97743016283</v>
      </c>
      <c r="K60" s="4">
        <f t="shared" ref="K60:K71" si="4">G60+H60+I60</f>
        <v>97476.995200000019</v>
      </c>
      <c r="L60" s="23">
        <v>0</v>
      </c>
      <c r="M60" s="4">
        <f t="shared" ref="M60:M71" si="5">J60+L60*$C$26/681.2</f>
        <v>179668.97743016283</v>
      </c>
      <c r="N60" s="4">
        <f>MIN($C$30*B$11,$C$28*B$12*B$11,B$7)</f>
        <v>86063.39039430728</v>
      </c>
      <c r="O60" s="4">
        <f>N60/Supuestos!$B$14*B$14</f>
        <v>105329.03893153295</v>
      </c>
      <c r="P60" s="4">
        <f>N60*B$16-O60</f>
        <v>90293.047434727501</v>
      </c>
      <c r="Q60" s="4">
        <f>846206.697484428*MIN(1,$C$30/3911.97229065033)</f>
        <v>846206.69748442795</v>
      </c>
      <c r="R60" s="4">
        <f t="shared" ref="R60:R71" si="6">P60+Q60</f>
        <v>936499.74491915549</v>
      </c>
      <c r="S60" s="4">
        <f>Q60/B$17</f>
        <v>1956.0045709500901</v>
      </c>
      <c r="T60" s="4">
        <f>B$9-S60</f>
        <v>-302.00457095009006</v>
      </c>
    </row>
    <row r="61" spans="1:20" x14ac:dyDescent="0.3">
      <c r="B61" t="s">
        <v>86</v>
      </c>
      <c r="C61" s="4">
        <f>$C$26*C$21</f>
        <v>91226.304000000004</v>
      </c>
      <c r="D61" s="7">
        <v>0.1666656966310664</v>
      </c>
      <c r="E61" s="7">
        <v>0.83333236329773308</v>
      </c>
      <c r="F61" s="7">
        <v>0</v>
      </c>
      <c r="G61" s="4">
        <f t="shared" si="1"/>
        <v>15204.295507237439</v>
      </c>
      <c r="H61" s="4">
        <f t="shared" si="2"/>
        <v>76021.831507237439</v>
      </c>
      <c r="I61" s="4">
        <f t="shared" si="3"/>
        <v>0</v>
      </c>
      <c r="J61" s="4">
        <f>G61*C$14+H61*C$15+I61*C$16</f>
        <v>169023.81446722953</v>
      </c>
      <c r="K61" s="4">
        <f t="shared" si="4"/>
        <v>91226.127014474885</v>
      </c>
      <c r="L61" s="23">
        <v>0</v>
      </c>
      <c r="M61" s="4">
        <f t="shared" si="5"/>
        <v>169023.81446722953</v>
      </c>
      <c r="N61" s="4">
        <f>MIN($C$30*C$11,$C$28*C$12*C$11,C$7)</f>
        <v>82141</v>
      </c>
      <c r="O61" s="4">
        <f>N61/Supuestos!$B$14*C$14</f>
        <v>102530.79197916666</v>
      </c>
      <c r="P61" s="4">
        <f>N61*C$16-O61</f>
        <v>88233.466420833327</v>
      </c>
      <c r="Q61" s="4">
        <f>866314.36455085*MIN(1,$C$30/3911.97229065033)</f>
        <v>866314.36455085</v>
      </c>
      <c r="R61" s="4">
        <f t="shared" si="6"/>
        <v>954547.83097168338</v>
      </c>
      <c r="S61" s="4">
        <f>Q61/C$17</f>
        <v>1956.0044356533078</v>
      </c>
      <c r="T61" s="4">
        <f>C$9-S61</f>
        <v>-491.00443565330784</v>
      </c>
    </row>
    <row r="62" spans="1:20" x14ac:dyDescent="0.3">
      <c r="B62" t="s">
        <v>87</v>
      </c>
      <c r="C62" s="4">
        <f>$C$26*D$21</f>
        <v>92070.991999999998</v>
      </c>
      <c r="D62" s="7">
        <v>0.12903269212655491</v>
      </c>
      <c r="E62" s="7">
        <v>0.87096923014818817</v>
      </c>
      <c r="F62" s="7">
        <v>0</v>
      </c>
      <c r="G62" s="4">
        <f t="shared" si="1"/>
        <v>11880.167964522499</v>
      </c>
      <c r="H62" s="4">
        <f t="shared" si="2"/>
        <v>80191.001021219985</v>
      </c>
      <c r="I62" s="4">
        <f t="shared" si="3"/>
        <v>0</v>
      </c>
      <c r="J62" s="4">
        <f>G62*D$14+H62*D$15+I62*D$16</f>
        <v>175646.23444462006</v>
      </c>
      <c r="K62" s="4">
        <f t="shared" si="4"/>
        <v>92071.168985742479</v>
      </c>
      <c r="L62" s="23">
        <v>0</v>
      </c>
      <c r="M62" s="4">
        <f t="shared" si="5"/>
        <v>175646.23444462006</v>
      </c>
      <c r="N62" s="4">
        <f>MIN($C$30*D$11,$C$28*D$12*D$11,D$7)</f>
        <v>74300</v>
      </c>
      <c r="O62" s="4">
        <f>N62/Supuestos!$B$14*D$14</f>
        <v>93904.364583333343</v>
      </c>
      <c r="P62" s="4">
        <f>N62*D$16-O62</f>
        <v>81027.55541666667</v>
      </c>
      <c r="Q62" s="4">
        <f>782888.179108982*MIN(1,$C$30/3911.97229065033)</f>
        <v>782888.17910898197</v>
      </c>
      <c r="R62" s="4">
        <f t="shared" si="6"/>
        <v>863915.73452564864</v>
      </c>
      <c r="S62" s="4">
        <f>Q62/D$17</f>
        <v>1741.5317415780173</v>
      </c>
      <c r="T62" s="4">
        <f>D$9-S62</f>
        <v>-159.53174157801732</v>
      </c>
    </row>
    <row r="63" spans="1:20" x14ac:dyDescent="0.3">
      <c r="B63" t="s">
        <v>88</v>
      </c>
      <c r="C63" s="4">
        <f>$C$26*E$21</f>
        <v>86158.176000000007</v>
      </c>
      <c r="D63" s="7">
        <v>0.16129118401672929</v>
      </c>
      <c r="E63" s="7">
        <v>0.83870881598327063</v>
      </c>
      <c r="F63" s="7">
        <v>0</v>
      </c>
      <c r="G63" s="4">
        <f t="shared" si="1"/>
        <v>13896.554219761751</v>
      </c>
      <c r="H63" s="4">
        <f t="shared" si="2"/>
        <v>72261.621780238245</v>
      </c>
      <c r="I63" s="4">
        <f t="shared" si="3"/>
        <v>0</v>
      </c>
      <c r="J63" s="4">
        <f>G63*E$14+H63*E$15+I63*E$16</f>
        <v>162350.01521654223</v>
      </c>
      <c r="K63" s="4">
        <f t="shared" si="4"/>
        <v>86158.175999999992</v>
      </c>
      <c r="L63" s="23">
        <v>0</v>
      </c>
      <c r="M63" s="4">
        <f t="shared" si="5"/>
        <v>162350.01521654223</v>
      </c>
      <c r="N63" s="4">
        <f>MIN($C$30*E$11,$C$28*E$12*E$11,E$7)</f>
        <v>82151.41810365695</v>
      </c>
      <c r="O63" s="4">
        <f>N63/Supuestos!$B$14*E$14</f>
        <v>103947.21621928344</v>
      </c>
      <c r="P63" s="4">
        <f>N63*E$16-O63</f>
        <v>89716.536818277469</v>
      </c>
      <c r="Q63" s="4">
        <f>879944.946860273*MIN(1,$C$30/3911.97229065033)</f>
        <v>879944.94686027302</v>
      </c>
      <c r="R63" s="4">
        <f t="shared" si="6"/>
        <v>969661.48367855046</v>
      </c>
      <c r="S63" s="4">
        <f>Q63/E$17</f>
        <v>1954.6947749967189</v>
      </c>
      <c r="T63" s="4">
        <f>E$9-S63</f>
        <v>-439.69477499671893</v>
      </c>
    </row>
    <row r="64" spans="1:20" x14ac:dyDescent="0.3">
      <c r="B64" t="s">
        <v>89</v>
      </c>
      <c r="C64" s="4">
        <f>$C$26*F$21</f>
        <v>81417.024000000005</v>
      </c>
      <c r="D64" s="7">
        <v>0.1333330434914928</v>
      </c>
      <c r="E64" s="7">
        <v>0.86666478269470304</v>
      </c>
      <c r="F64" s="7">
        <v>0</v>
      </c>
      <c r="G64" s="4">
        <f t="shared" si="1"/>
        <v>10855.579601939913</v>
      </c>
      <c r="H64" s="4">
        <f t="shared" si="2"/>
        <v>70561.267412609421</v>
      </c>
      <c r="I64" s="4">
        <f t="shared" si="3"/>
        <v>0</v>
      </c>
      <c r="J64" s="4">
        <f>G64*F$14+H64*F$15+I64*F$16</f>
        <v>154287.63898747147</v>
      </c>
      <c r="K64" s="4">
        <f t="shared" si="4"/>
        <v>81416.847014549334</v>
      </c>
      <c r="L64" s="23">
        <v>0</v>
      </c>
      <c r="M64" s="4">
        <f t="shared" si="5"/>
        <v>154287.63898747147</v>
      </c>
      <c r="N64" s="4">
        <f>MIN($C$30*F$11,$C$28*F$12*F$11,F$7)</f>
        <v>80458</v>
      </c>
      <c r="O64" s="4">
        <f>N64/Supuestos!$B$14*F$14</f>
        <v>101368.69895833333</v>
      </c>
      <c r="P64" s="4">
        <f>N64*F$16-O64</f>
        <v>87039.799641666657</v>
      </c>
      <c r="Q64" s="4">
        <f>750604.023175983*MIN(1,$C$30/3911.97229065033)</f>
        <v>750604.02317598299</v>
      </c>
      <c r="R64" s="4">
        <f t="shared" si="6"/>
        <v>837643.82281764969</v>
      </c>
      <c r="S64" s="4">
        <f>Q64/F$17</f>
        <v>1682.7800093621408</v>
      </c>
      <c r="T64" s="4">
        <f>F$9-S64</f>
        <v>596.21999063785915</v>
      </c>
    </row>
    <row r="65" spans="1:20" x14ac:dyDescent="0.3">
      <c r="B65" t="s">
        <v>90</v>
      </c>
      <c r="C65" s="4">
        <f>$C$26*G$21</f>
        <v>89705.865600000005</v>
      </c>
      <c r="D65" s="7">
        <v>0.1285241903980239</v>
      </c>
      <c r="E65" s="7">
        <v>0.86893267094666315</v>
      </c>
      <c r="F65" s="7">
        <v>2.54313865531297E-3</v>
      </c>
      <c r="G65" s="4">
        <f t="shared" si="1"/>
        <v>11529.373750193943</v>
      </c>
      <c r="H65" s="4">
        <f t="shared" si="2"/>
        <v>77948.357395390398</v>
      </c>
      <c r="I65" s="4">
        <f t="shared" si="3"/>
        <v>228.13445441567004</v>
      </c>
      <c r="J65" s="4">
        <f>G65*G$14+H65*G$15+I65*G$16</f>
        <v>170422.48380798276</v>
      </c>
      <c r="K65" s="4">
        <f t="shared" si="4"/>
        <v>89705.865600000019</v>
      </c>
      <c r="L65" s="23">
        <v>0</v>
      </c>
      <c r="M65" s="4">
        <f t="shared" si="5"/>
        <v>170422.48380798276</v>
      </c>
      <c r="N65" s="4">
        <f>MIN($C$30*G$11,$C$28*G$12*G$11,G$7)</f>
        <v>89975.36268495761</v>
      </c>
      <c r="O65" s="4">
        <f>N65/Supuestos!$B$14*G$14</f>
        <v>113359.58454943358</v>
      </c>
      <c r="P65" s="4">
        <f>N65*G$16-O65</f>
        <v>97335.722249931656</v>
      </c>
      <c r="Q65" s="4">
        <f>436237.736219313*MIN(1,$C$30/3911.97229065033)</f>
        <v>436237.736219313</v>
      </c>
      <c r="R65" s="4">
        <f t="shared" si="6"/>
        <v>533573.45846924465</v>
      </c>
      <c r="S65" s="4">
        <f>Q65/G$17</f>
        <v>978.00187472102448</v>
      </c>
      <c r="T65" s="4">
        <f>G$9-S65</f>
        <v>771.99812527897552</v>
      </c>
    </row>
    <row r="66" spans="1:20" x14ac:dyDescent="0.3">
      <c r="B66" t="s">
        <v>91</v>
      </c>
      <c r="C66" s="4">
        <f>$C$26*H$21</f>
        <v>93024.672000000006</v>
      </c>
      <c r="D66" s="7">
        <v>0.16925415615499059</v>
      </c>
      <c r="E66" s="7">
        <v>0.82023226523289305</v>
      </c>
      <c r="F66" s="7">
        <v>1.0513578612116299E-2</v>
      </c>
      <c r="G66" s="4">
        <f t="shared" si="1"/>
        <v>15744.812360954782</v>
      </c>
      <c r="H66" s="4">
        <f t="shared" si="2"/>
        <v>76301.837437106878</v>
      </c>
      <c r="I66" s="4">
        <f t="shared" si="3"/>
        <v>978.02220193833409</v>
      </c>
      <c r="J66" s="4">
        <f>G66*H$14+H66*H$15+I66*H$16</f>
        <v>169305.85460286078</v>
      </c>
      <c r="K66" s="4">
        <f t="shared" si="4"/>
        <v>93024.671999999991</v>
      </c>
      <c r="L66" s="23">
        <v>0</v>
      </c>
      <c r="M66" s="4">
        <f t="shared" si="5"/>
        <v>169305.85460286078</v>
      </c>
      <c r="N66" s="4">
        <f>MIN($C$30*H$11,$C$28*H$12*H$11,H$7)</f>
        <v>97799.307266258285</v>
      </c>
      <c r="O66" s="4">
        <f>N66/Supuestos!$B$14*H$14</f>
        <v>120119.9616642137</v>
      </c>
      <c r="P66" s="4">
        <f>N66*H$16-O66</f>
        <v>102598.40077323628</v>
      </c>
      <c r="Q66" s="4">
        <f>423142.426841897*MIN(1,$C$30/3911.97229065033)</f>
        <v>423142.42684189702</v>
      </c>
      <c r="R66" s="4">
        <f t="shared" si="6"/>
        <v>525740.82761513325</v>
      </c>
      <c r="S66" s="4">
        <f>Q66/H$17</f>
        <v>978.0021884202306</v>
      </c>
      <c r="T66" s="4">
        <f>H$9-S66</f>
        <v>1047.9978115797694</v>
      </c>
    </row>
    <row r="67" spans="1:20" x14ac:dyDescent="0.3">
      <c r="B67" t="s">
        <v>92</v>
      </c>
      <c r="C67" s="4">
        <f>$C$26*I$21</f>
        <v>89199.052800000005</v>
      </c>
      <c r="D67" s="7">
        <v>0.1310343459195619</v>
      </c>
      <c r="E67" s="7">
        <v>0.85726502509970437</v>
      </c>
      <c r="F67" s="7">
        <v>1.1700628980733751E-2</v>
      </c>
      <c r="G67" s="4">
        <f t="shared" si="1"/>
        <v>11688.139540292466</v>
      </c>
      <c r="H67" s="4">
        <f t="shared" si="2"/>
        <v>76467.228237461866</v>
      </c>
      <c r="I67" s="4">
        <f t="shared" si="3"/>
        <v>1043.6850222456801</v>
      </c>
      <c r="J67" s="4">
        <f>G67*I$14+H67*I$15+I67*I$16</f>
        <v>157629.68881527489</v>
      </c>
      <c r="K67" s="4">
        <f t="shared" si="4"/>
        <v>89199.052800000019</v>
      </c>
      <c r="L67" s="23">
        <v>0</v>
      </c>
      <c r="M67" s="4">
        <f t="shared" si="5"/>
        <v>157629.68881527489</v>
      </c>
      <c r="N67" s="4">
        <f>MIN($C$30*I$11,$C$28*I$12*I$11,I$7)</f>
        <v>105623.25184755895</v>
      </c>
      <c r="O67" s="4">
        <f>N67/Supuestos!$B$14*I$14</f>
        <v>124338.37178429832</v>
      </c>
      <c r="P67" s="4">
        <f>N67*I$16-O67</f>
        <v>105223.2037811863</v>
      </c>
      <c r="Q67" s="4">
        <f>401988.207688244*MIN(1,$C$30/3911.97229065033)</f>
        <v>401988.207688244</v>
      </c>
      <c r="R67" s="4">
        <f t="shared" si="6"/>
        <v>507211.41146943031</v>
      </c>
      <c r="S67" s="4">
        <f>Q67/I$17</f>
        <v>978.00211100952254</v>
      </c>
      <c r="T67" s="4">
        <f>I$9-S67</f>
        <v>1145.9978889904773</v>
      </c>
    </row>
    <row r="68" spans="1:20" x14ac:dyDescent="0.3">
      <c r="B68" t="s">
        <v>93</v>
      </c>
      <c r="C68" s="4">
        <f>$C$26*J$21</f>
        <v>97308.057600000015</v>
      </c>
      <c r="D68" s="7">
        <v>0.132044277274976</v>
      </c>
      <c r="E68" s="7">
        <v>0.85676272444198698</v>
      </c>
      <c r="F68" s="7">
        <v>1.119117946628641E-2</v>
      </c>
      <c r="G68" s="4">
        <f t="shared" si="1"/>
        <v>12848.972138823738</v>
      </c>
      <c r="H68" s="4">
        <f t="shared" si="2"/>
        <v>83369.916539533806</v>
      </c>
      <c r="I68" s="4">
        <f t="shared" si="3"/>
        <v>1088.9919361173354</v>
      </c>
      <c r="J68" s="4">
        <f>G68*J$14+H68*J$15+I68*J$16</f>
        <v>168134.13547047949</v>
      </c>
      <c r="K68" s="4">
        <f t="shared" si="4"/>
        <v>97307.880614474881</v>
      </c>
      <c r="L68" s="23">
        <v>0</v>
      </c>
      <c r="M68" s="4">
        <f t="shared" si="5"/>
        <v>168134.13547047949</v>
      </c>
      <c r="N68" s="4">
        <f>MIN($C$30*J$11,$C$28*J$12*J$11,J$7)</f>
        <v>105623.25184755895</v>
      </c>
      <c r="O68" s="4">
        <f>N68/Supuestos!$B$14*J$14</f>
        <v>121686.78806604189</v>
      </c>
      <c r="P68" s="4">
        <f>N68*J$16-O68</f>
        <v>102847.12071149892</v>
      </c>
      <c r="Q68" s="4">
        <f>392941.671717752*MIN(1,$C$30/3911.97229065033)</f>
        <v>392941.671717752</v>
      </c>
      <c r="R68" s="4">
        <f t="shared" si="6"/>
        <v>495788.7924292509</v>
      </c>
      <c r="S68" s="4">
        <f>Q68/J$17</f>
        <v>978.00207008251289</v>
      </c>
      <c r="T68" s="4">
        <f>J$9-S68</f>
        <v>913.99792991748711</v>
      </c>
    </row>
    <row r="69" spans="1:20" x14ac:dyDescent="0.3">
      <c r="B69" t="s">
        <v>94</v>
      </c>
      <c r="C69" s="4">
        <f>$C$26*K$21</f>
        <v>94757.644800000009</v>
      </c>
      <c r="D69" s="7">
        <v>0.14507552339665711</v>
      </c>
      <c r="E69" s="7">
        <v>0.84366180609902564</v>
      </c>
      <c r="F69" s="7">
        <v>1.126453827720364E-2</v>
      </c>
      <c r="G69" s="4">
        <f t="shared" si="1"/>
        <v>13747.014915194524</v>
      </c>
      <c r="H69" s="4">
        <f t="shared" si="2"/>
        <v>79943.405753657949</v>
      </c>
      <c r="I69" s="4">
        <f t="shared" si="3"/>
        <v>1067.4011169072664</v>
      </c>
      <c r="J69" s="4">
        <f>G69*K$14+H69*K$15+I69*K$16</f>
        <v>162930.35986741807</v>
      </c>
      <c r="K69" s="4">
        <f t="shared" si="4"/>
        <v>94757.821785759734</v>
      </c>
      <c r="L69" s="23">
        <v>0</v>
      </c>
      <c r="M69" s="4">
        <f t="shared" si="5"/>
        <v>162930.35986741807</v>
      </c>
      <c r="N69" s="4">
        <f>MIN($C$30*K$11,$C$28*K$12*K$11,K$7)</f>
        <v>93887.334975607955</v>
      </c>
      <c r="O69" s="4">
        <f>N69/Supuestos!$B$14*K$14</f>
        <v>108214.9334901148</v>
      </c>
      <c r="P69" s="4">
        <f>N69*K$16-O69</f>
        <v>91474.039269505753</v>
      </c>
      <c r="Q69" s="4">
        <f>393166.7897999*MIN(1,$C$30/3911.97229065033)</f>
        <v>393166.78979990003</v>
      </c>
      <c r="R69" s="4">
        <f t="shared" si="6"/>
        <v>484640.82906940579</v>
      </c>
      <c r="S69" s="4">
        <f>Q69/K$17</f>
        <v>978.00251187756533</v>
      </c>
      <c r="T69" s="4">
        <f>K$9-S69</f>
        <v>924.99748812243467</v>
      </c>
    </row>
    <row r="70" spans="1:20" x14ac:dyDescent="0.3">
      <c r="B70" t="s">
        <v>95</v>
      </c>
      <c r="C70" s="4">
        <f>$C$26*L$21</f>
        <v>115891.1936</v>
      </c>
      <c r="D70" s="7">
        <v>0.16278409177680109</v>
      </c>
      <c r="E70" s="7">
        <v>0.82602328017764037</v>
      </c>
      <c r="F70" s="7">
        <v>1.1192628045558531E-2</v>
      </c>
      <c r="G70" s="4">
        <f t="shared" si="1"/>
        <v>18865.242695105422</v>
      </c>
      <c r="H70" s="4">
        <f t="shared" si="2"/>
        <v>95728.823881173957</v>
      </c>
      <c r="I70" s="4">
        <f t="shared" si="3"/>
        <v>1297.1270237206134</v>
      </c>
      <c r="J70" s="4">
        <f>G70*L$14+H70*L$15+I70*L$16</f>
        <v>197910.87720022013</v>
      </c>
      <c r="K70" s="4">
        <f t="shared" si="4"/>
        <v>115891.1936</v>
      </c>
      <c r="L70" s="23">
        <v>0</v>
      </c>
      <c r="M70" s="4">
        <f t="shared" si="5"/>
        <v>197910.87720022013</v>
      </c>
      <c r="N70" s="4">
        <f>MIN($C$30*L$11,$C$28*L$12*L$11,L$7)</f>
        <v>101711.27955690862</v>
      </c>
      <c r="O70" s="4">
        <f>N70/Supuestos!$B$14*L$14</f>
        <v>117296.4141640141</v>
      </c>
      <c r="P70" s="4">
        <f>N70*L$16-O70</f>
        <v>99155.359861043107</v>
      </c>
      <c r="Q70" s="4">
        <f>393411.13818844*MIN(1,$C$30/3911.97229065033)</f>
        <v>393411.13818844</v>
      </c>
      <c r="R70" s="4">
        <f t="shared" si="6"/>
        <v>492566.49804948311</v>
      </c>
      <c r="S70" s="4">
        <f>Q70/L$17</f>
        <v>978.00213341729238</v>
      </c>
      <c r="T70" s="4">
        <f>L$9-S70</f>
        <v>792.99786658270762</v>
      </c>
    </row>
    <row r="71" spans="1:20" x14ac:dyDescent="0.3">
      <c r="B71" t="s">
        <v>96</v>
      </c>
      <c r="C71" s="4">
        <f>$C$26*M$21</f>
        <v>102670.46400000001</v>
      </c>
      <c r="D71" s="7">
        <v>0.13437716555250251</v>
      </c>
      <c r="E71" s="7">
        <v>0.86404726032828483</v>
      </c>
      <c r="F71" s="7">
        <v>1.5772979421002371E-3</v>
      </c>
      <c r="G71" s="4">
        <f t="shared" si="1"/>
        <v>13796.56593828025</v>
      </c>
      <c r="H71" s="4">
        <f t="shared" si="2"/>
        <v>88712.133135833807</v>
      </c>
      <c r="I71" s="4">
        <f t="shared" si="3"/>
        <v>161.94191158167649</v>
      </c>
      <c r="J71" s="4">
        <f>G71*M$14+H71*M$15+I71*M$16</f>
        <v>177108.97804199392</v>
      </c>
      <c r="K71" s="4">
        <f t="shared" si="4"/>
        <v>102670.64098569573</v>
      </c>
      <c r="L71" s="23">
        <v>0</v>
      </c>
      <c r="M71" s="4">
        <f t="shared" si="5"/>
        <v>177108.97804199392</v>
      </c>
      <c r="N71" s="4">
        <f>MIN($C$30*M$11,$C$28*M$12*M$11,M$7)</f>
        <v>89975.36268495761</v>
      </c>
      <c r="O71" s="4">
        <f>N71/Supuestos!$B$14*M$14</f>
        <v>103752.84009609175</v>
      </c>
      <c r="P71" s="4">
        <f>N71*M$16-O71</f>
        <v>87714.731697498049</v>
      </c>
      <c r="Q71" s="4">
        <f>393391.73145722*MIN(1,$C$30/3911.97229065033)</f>
        <v>393391.73145721998</v>
      </c>
      <c r="R71" s="4">
        <f t="shared" si="6"/>
        <v>481106.46315471805</v>
      </c>
      <c r="S71" s="4">
        <f>Q71/M$17</f>
        <v>978.00251456150545</v>
      </c>
      <c r="T71" s="4">
        <f>M$9-S71</f>
        <v>600.99748543849455</v>
      </c>
    </row>
    <row r="72" spans="1:20" x14ac:dyDescent="0.3">
      <c r="B72" s="3" t="s">
        <v>97</v>
      </c>
      <c r="C72" s="9">
        <f>SUM(C60:C71)</f>
        <v>1130906.4416</v>
      </c>
      <c r="G72" s="9">
        <f>SUM(G60:G71)</f>
        <v>162634.38401387481</v>
      </c>
      <c r="H72" s="9">
        <f>SUM(H60:H71)</f>
        <v>962406.75391989562</v>
      </c>
      <c r="I72" s="9">
        <f>SUM(I60:I71)</f>
        <v>5865.3036669265757</v>
      </c>
      <c r="J72" s="9">
        <f>SUM(J60:J71)</f>
        <v>2044419.0583522562</v>
      </c>
      <c r="K72" s="9">
        <f>SUM(K60:K71)</f>
        <v>1130906.4416006971</v>
      </c>
      <c r="M72" s="9">
        <f t="shared" ref="M72:R72" si="7">SUM(M60:M71)</f>
        <v>2044419.0583522562</v>
      </c>
      <c r="N72" s="9">
        <f t="shared" si="7"/>
        <v>1089708.9593617723</v>
      </c>
      <c r="O72" s="9">
        <f t="shared" si="7"/>
        <v>1315849.0044858579</v>
      </c>
      <c r="P72" s="9">
        <f t="shared" si="7"/>
        <v>1122658.9840760718</v>
      </c>
      <c r="Q72" s="9">
        <f t="shared" si="7"/>
        <v>6960237.9130932819</v>
      </c>
      <c r="R72" s="9">
        <f t="shared" si="7"/>
        <v>8082896.8971693534</v>
      </c>
      <c r="S72" s="4">
        <f>AVERAGE(S60:S71)</f>
        <v>1344.7525780524941</v>
      </c>
      <c r="T72" s="4">
        <f>AVERAGE(T60:T71)</f>
        <v>450.24742194750593</v>
      </c>
    </row>
    <row r="73" spans="1:20" x14ac:dyDescent="0.3">
      <c r="A73" s="28" t="s">
        <v>224</v>
      </c>
    </row>
    <row r="75" spans="1:20" x14ac:dyDescent="0.3">
      <c r="A75" s="1" t="s">
        <v>167</v>
      </c>
    </row>
    <row r="76" spans="1:20" x14ac:dyDescent="0.3">
      <c r="B76" s="2" t="s">
        <v>84</v>
      </c>
      <c r="C76" s="2" t="s">
        <v>153</v>
      </c>
      <c r="D76" s="2" t="s">
        <v>154</v>
      </c>
      <c r="E76" s="2" t="s">
        <v>155</v>
      </c>
      <c r="F76" s="2" t="s">
        <v>156</v>
      </c>
      <c r="G76" s="2" t="s">
        <v>157</v>
      </c>
      <c r="H76" s="2" t="s">
        <v>158</v>
      </c>
      <c r="I76" s="2" t="s">
        <v>159</v>
      </c>
      <c r="J76" s="2" t="s">
        <v>160</v>
      </c>
      <c r="K76" s="2" t="s">
        <v>161</v>
      </c>
      <c r="L76" s="2" t="s">
        <v>220</v>
      </c>
      <c r="M76" s="2" t="s">
        <v>162</v>
      </c>
      <c r="N76" s="2" t="s">
        <v>163</v>
      </c>
      <c r="O76" s="2" t="s">
        <v>164</v>
      </c>
      <c r="P76" s="2" t="s">
        <v>165</v>
      </c>
      <c r="Q76" s="2" t="s">
        <v>221</v>
      </c>
      <c r="R76" s="2" t="s">
        <v>166</v>
      </c>
      <c r="S76" s="27" t="s">
        <v>222</v>
      </c>
      <c r="T76" s="27" t="s">
        <v>223</v>
      </c>
    </row>
    <row r="77" spans="1:20" x14ac:dyDescent="0.3">
      <c r="B77" t="s">
        <v>85</v>
      </c>
      <c r="C77" s="4">
        <f>$D$26*B$21</f>
        <v>120121.93720000001</v>
      </c>
      <c r="D77" s="7">
        <v>0.1290327056381568</v>
      </c>
      <c r="E77" s="7">
        <v>0.87096729436184328</v>
      </c>
      <c r="F77" s="7">
        <v>0</v>
      </c>
      <c r="G77" s="4">
        <f t="shared" ref="G77:G88" si="8">C77*D77</f>
        <v>15499.658563412759</v>
      </c>
      <c r="H77" s="4">
        <f t="shared" ref="H77:H88" si="9">C77*E77</f>
        <v>104622.27863658726</v>
      </c>
      <c r="I77" s="4">
        <f t="shared" ref="I77:I88" si="10">C77*F77</f>
        <v>0</v>
      </c>
      <c r="J77" s="4">
        <f>G77*B$14+H77*B$15+I77*B$16</f>
        <v>221407.93841413342</v>
      </c>
      <c r="K77" s="4">
        <f t="shared" ref="K77:K88" si="11">G77+H77+I77</f>
        <v>120121.93720000001</v>
      </c>
      <c r="L77" s="23">
        <v>0</v>
      </c>
      <c r="M77" s="4">
        <f t="shared" ref="M77:M88" si="12">J77+L77*$D$26/839.45</f>
        <v>221407.93841413342</v>
      </c>
      <c r="N77" s="4">
        <f>MIN($D$30*B$11,$D$28*B$12*B$11,B$7)</f>
        <v>86063.39039430728</v>
      </c>
      <c r="O77" s="4">
        <f>N77/Supuestos!$B$14*B$14</f>
        <v>105329.03893153295</v>
      </c>
      <c r="P77" s="4">
        <f>N77*B$16-O77</f>
        <v>90293.047434727501</v>
      </c>
      <c r="Q77" s="4">
        <f>846206.697484428*MIN(1,$D$30/3911.97229065033)</f>
        <v>846206.69748442795</v>
      </c>
      <c r="R77" s="4">
        <f t="shared" ref="R77:R88" si="13">P77+Q77</f>
        <v>936499.74491915549</v>
      </c>
      <c r="S77" s="4">
        <f>Q77/B$17</f>
        <v>1956.0045709500901</v>
      </c>
      <c r="T77" s="4">
        <f>B$9-S77</f>
        <v>-302.00457095009006</v>
      </c>
    </row>
    <row r="78" spans="1:20" x14ac:dyDescent="0.3">
      <c r="B78" t="s">
        <v>86</v>
      </c>
      <c r="C78" s="4">
        <f>$D$26*C$21</f>
        <v>112419.144</v>
      </c>
      <c r="D78" s="7">
        <v>0.1666681492155834</v>
      </c>
      <c r="E78" s="7">
        <v>0.83333481588225</v>
      </c>
      <c r="F78" s="7">
        <v>0</v>
      </c>
      <c r="G78" s="4">
        <f t="shared" si="8"/>
        <v>18736.690666880157</v>
      </c>
      <c r="H78" s="4">
        <f t="shared" si="9"/>
        <v>93682.786666880143</v>
      </c>
      <c r="I78" s="4">
        <f t="shared" si="10"/>
        <v>0</v>
      </c>
      <c r="J78" s="4">
        <f>G78*C$14+H78*C$15+I78*C$16</f>
        <v>208290.72033721264</v>
      </c>
      <c r="K78" s="4">
        <f t="shared" si="11"/>
        <v>112419.4773337603</v>
      </c>
      <c r="L78" s="23">
        <v>0</v>
      </c>
      <c r="M78" s="4">
        <f t="shared" si="12"/>
        <v>208290.72033721264</v>
      </c>
      <c r="N78" s="4">
        <f>MIN($D$30*C$11,$D$28*C$12*C$11,C$7)</f>
        <v>82141</v>
      </c>
      <c r="O78" s="4">
        <f>N78/Supuestos!$B$14*C$14</f>
        <v>102530.79197916666</v>
      </c>
      <c r="P78" s="4">
        <f>N78*C$16-O78</f>
        <v>88233.466420833327</v>
      </c>
      <c r="Q78" s="4">
        <f>866314.36455085*MIN(1,$D$30/3911.97229065033)</f>
        <v>866314.36455085</v>
      </c>
      <c r="R78" s="4">
        <f t="shared" si="13"/>
        <v>954547.83097168338</v>
      </c>
      <c r="S78" s="4">
        <f>Q78/C$17</f>
        <v>1956.0044356533078</v>
      </c>
      <c r="T78" s="4">
        <f>C$9-S78</f>
        <v>-491.00443565330784</v>
      </c>
    </row>
    <row r="79" spans="1:20" x14ac:dyDescent="0.3">
      <c r="B79" t="s">
        <v>87</v>
      </c>
      <c r="C79" s="4">
        <f>$D$26*D$21</f>
        <v>113460.06200000001</v>
      </c>
      <c r="D79" s="7">
        <v>0.1290322580645161</v>
      </c>
      <c r="E79" s="7">
        <v>0.87096774193548387</v>
      </c>
      <c r="F79" s="7">
        <v>0</v>
      </c>
      <c r="G79" s="4">
        <f t="shared" si="8"/>
        <v>14640.007999999998</v>
      </c>
      <c r="H79" s="4">
        <f t="shared" si="9"/>
        <v>98820.054000000004</v>
      </c>
      <c r="I79" s="4">
        <f t="shared" si="10"/>
        <v>0</v>
      </c>
      <c r="J79" s="4">
        <f>G79*D$14+H79*D$15+I79*D$16</f>
        <v>216450.32227880001</v>
      </c>
      <c r="K79" s="4">
        <f t="shared" si="11"/>
        <v>113460.06200000001</v>
      </c>
      <c r="L79" s="23">
        <v>0</v>
      </c>
      <c r="M79" s="4">
        <f t="shared" si="12"/>
        <v>216450.32227880001</v>
      </c>
      <c r="N79" s="4">
        <f>MIN($D$30*D$11,$D$28*D$12*D$11,D$7)</f>
        <v>74300</v>
      </c>
      <c r="O79" s="4">
        <f>N79/Supuestos!$B$14*D$14</f>
        <v>93904.364583333343</v>
      </c>
      <c r="P79" s="4">
        <f>N79*D$16-O79</f>
        <v>81027.55541666667</v>
      </c>
      <c r="Q79" s="4">
        <f>782888.179108982*MIN(1,$D$30/3911.97229065033)</f>
        <v>782888.17910898197</v>
      </c>
      <c r="R79" s="4">
        <f t="shared" si="13"/>
        <v>863915.73452564864</v>
      </c>
      <c r="S79" s="4">
        <f>Q79/D$17</f>
        <v>1741.5317415780173</v>
      </c>
      <c r="T79" s="4">
        <f>D$9-S79</f>
        <v>-159.53174157801732</v>
      </c>
    </row>
    <row r="80" spans="1:20" x14ac:dyDescent="0.3">
      <c r="B80" t="s">
        <v>88</v>
      </c>
      <c r="C80" s="4">
        <f>$D$26*E$21</f>
        <v>106173.63600000001</v>
      </c>
      <c r="D80" s="7">
        <v>0.16128920856081699</v>
      </c>
      <c r="E80" s="7">
        <v>0.83871079143918292</v>
      </c>
      <c r="F80" s="7">
        <v>0</v>
      </c>
      <c r="G80" s="4">
        <f t="shared" si="8"/>
        <v>17124.661720464268</v>
      </c>
      <c r="H80" s="4">
        <f t="shared" si="9"/>
        <v>89048.974279535731</v>
      </c>
      <c r="I80" s="4">
        <f t="shared" si="10"/>
        <v>0</v>
      </c>
      <c r="J80" s="4">
        <f>G80*E$14+H80*E$15+I80*E$16</f>
        <v>200065.81671398133</v>
      </c>
      <c r="K80" s="4">
        <f t="shared" si="11"/>
        <v>106173.636</v>
      </c>
      <c r="L80" s="23">
        <v>0</v>
      </c>
      <c r="M80" s="4">
        <f t="shared" si="12"/>
        <v>200065.81671398133</v>
      </c>
      <c r="N80" s="4">
        <f>MIN($D$30*E$11,$D$28*E$12*E$11,E$7)</f>
        <v>82151.41810365695</v>
      </c>
      <c r="O80" s="4">
        <f>N80/Supuestos!$B$14*E$14</f>
        <v>103947.21621928344</v>
      </c>
      <c r="P80" s="4">
        <f>N80*E$16-O80</f>
        <v>89716.536818277469</v>
      </c>
      <c r="Q80" s="4">
        <f>879944.946860273*MIN(1,$D$30/3911.97229065033)</f>
        <v>879944.94686027302</v>
      </c>
      <c r="R80" s="4">
        <f t="shared" si="13"/>
        <v>969661.48367855046</v>
      </c>
      <c r="S80" s="4">
        <f>Q80/E$17</f>
        <v>1954.6947749967189</v>
      </c>
      <c r="T80" s="4">
        <f>E$9-S80</f>
        <v>-439.69477499671893</v>
      </c>
    </row>
    <row r="81" spans="1:20" x14ac:dyDescent="0.3">
      <c r="B81" t="s">
        <v>89</v>
      </c>
      <c r="C81" s="4">
        <f>$D$26*F$21</f>
        <v>100331.064</v>
      </c>
      <c r="D81" s="7">
        <v>0.13333200439877341</v>
      </c>
      <c r="E81" s="7">
        <v>0.86666799560122665</v>
      </c>
      <c r="F81" s="7">
        <v>0</v>
      </c>
      <c r="G81" s="4">
        <f t="shared" si="8"/>
        <v>13377.341866581615</v>
      </c>
      <c r="H81" s="4">
        <f t="shared" si="9"/>
        <v>86953.722133418385</v>
      </c>
      <c r="I81" s="4">
        <f t="shared" si="10"/>
        <v>0</v>
      </c>
      <c r="J81" s="4">
        <f>G81*F$14+H81*F$15+I81*F$16</f>
        <v>190130.81611553396</v>
      </c>
      <c r="K81" s="4">
        <f t="shared" si="11"/>
        <v>100331.064</v>
      </c>
      <c r="L81" s="23">
        <v>0</v>
      </c>
      <c r="M81" s="4">
        <f t="shared" si="12"/>
        <v>190130.81611553396</v>
      </c>
      <c r="N81" s="4">
        <f>MIN($D$30*F$11,$D$28*F$12*F$11,F$7)</f>
        <v>80458</v>
      </c>
      <c r="O81" s="4">
        <f>N81/Supuestos!$B$14*F$14</f>
        <v>101368.69895833333</v>
      </c>
      <c r="P81" s="4">
        <f>N81*F$16-O81</f>
        <v>87039.799641666657</v>
      </c>
      <c r="Q81" s="4">
        <f>750604.023175983*MIN(1,$D$30/3911.97229065033)</f>
        <v>750604.02317598299</v>
      </c>
      <c r="R81" s="4">
        <f t="shared" si="13"/>
        <v>837643.82281764969</v>
      </c>
      <c r="S81" s="4">
        <f>Q81/F$17</f>
        <v>1682.7800093621408</v>
      </c>
      <c r="T81" s="4">
        <f>F$9-S81</f>
        <v>596.21999063785915</v>
      </c>
    </row>
    <row r="82" spans="1:20" x14ac:dyDescent="0.3">
      <c r="B82" t="s">
        <v>90</v>
      </c>
      <c r="C82" s="4">
        <f>$D$26*G$21</f>
        <v>110545.49159999999</v>
      </c>
      <c r="D82" s="7">
        <v>0.12852344136342261</v>
      </c>
      <c r="E82" s="7">
        <v>0.8689346150598849</v>
      </c>
      <c r="F82" s="7">
        <v>2.5449589308760212E-3</v>
      </c>
      <c r="G82" s="4">
        <f t="shared" si="8"/>
        <v>14207.687007643326</v>
      </c>
      <c r="H82" s="4">
        <f t="shared" si="9"/>
        <v>96056.804190051727</v>
      </c>
      <c r="I82" s="4">
        <f t="shared" si="10"/>
        <v>281.33373611550019</v>
      </c>
      <c r="J82" s="4">
        <f>G82*G$14+H82*G$15+I82*G$16</f>
        <v>210014.23910822376</v>
      </c>
      <c r="K82" s="4">
        <f t="shared" si="11"/>
        <v>110545.82493381055</v>
      </c>
      <c r="L82" s="23">
        <v>0</v>
      </c>
      <c r="M82" s="4">
        <f t="shared" si="12"/>
        <v>210014.23910822376</v>
      </c>
      <c r="N82" s="4">
        <f>MIN($D$30*G$11,$D$28*G$12*G$11,G$7)</f>
        <v>89975.36268495761</v>
      </c>
      <c r="O82" s="4">
        <f>N82/Supuestos!$B$14*G$14</f>
        <v>113359.58454943358</v>
      </c>
      <c r="P82" s="4">
        <f>N82*G$16-O82</f>
        <v>97335.722249931656</v>
      </c>
      <c r="Q82" s="4">
        <f>436237.736219313*MIN(1,$D$30/3911.97229065033)</f>
        <v>436237.736219313</v>
      </c>
      <c r="R82" s="4">
        <f t="shared" si="13"/>
        <v>533573.45846924465</v>
      </c>
      <c r="S82" s="4">
        <f>Q82/G$17</f>
        <v>978.00187472102448</v>
      </c>
      <c r="T82" s="4">
        <f>G$9-S82</f>
        <v>771.99812527897552</v>
      </c>
    </row>
    <row r="83" spans="1:20" x14ac:dyDescent="0.3">
      <c r="B83" t="s">
        <v>91</v>
      </c>
      <c r="C83" s="4">
        <f>$D$26*H$21</f>
        <v>114635.292</v>
      </c>
      <c r="D83" s="7">
        <v>0.1692526446180061</v>
      </c>
      <c r="E83" s="7">
        <v>0.82023285432647297</v>
      </c>
      <c r="F83" s="7">
        <v>1.051450105552099E-2</v>
      </c>
      <c r="G83" s="4">
        <f t="shared" si="8"/>
        <v>19402.326337557359</v>
      </c>
      <c r="H83" s="4">
        <f t="shared" si="9"/>
        <v>94027.632763708694</v>
      </c>
      <c r="I83" s="4">
        <f t="shared" si="10"/>
        <v>1205.3328987339569</v>
      </c>
      <c r="J83" s="4">
        <f>G83*H$14+H83*H$15+I83*H$16</f>
        <v>208637.57200618333</v>
      </c>
      <c r="K83" s="4">
        <f t="shared" si="11"/>
        <v>114635.29200000002</v>
      </c>
      <c r="L83" s="23">
        <v>0</v>
      </c>
      <c r="M83" s="4">
        <f t="shared" si="12"/>
        <v>208637.57200618333</v>
      </c>
      <c r="N83" s="4">
        <f>MIN($D$30*H$11,$D$28*H$12*H$11,H$7)</f>
        <v>97799.307266258285</v>
      </c>
      <c r="O83" s="4">
        <f>N83/Supuestos!$B$14*H$14</f>
        <v>120119.9616642137</v>
      </c>
      <c r="P83" s="4">
        <f>N83*H$16-O83</f>
        <v>102598.40077323628</v>
      </c>
      <c r="Q83" s="4">
        <f>423142.426841897*MIN(1,$D$30/3911.97229065033)</f>
        <v>423142.42684189702</v>
      </c>
      <c r="R83" s="4">
        <f t="shared" si="13"/>
        <v>525740.82761513325</v>
      </c>
      <c r="S83" s="4">
        <f>Q83/H$17</f>
        <v>978.0021884202306</v>
      </c>
      <c r="T83" s="4">
        <f>H$9-S83</f>
        <v>1047.9978115797694</v>
      </c>
    </row>
    <row r="84" spans="1:20" x14ac:dyDescent="0.3">
      <c r="B84" t="s">
        <v>92</v>
      </c>
      <c r="C84" s="4">
        <f>$D$26*I$21</f>
        <v>109920.9408</v>
      </c>
      <c r="D84" s="7">
        <v>0.13103349981653489</v>
      </c>
      <c r="E84" s="7">
        <v>0.85726415637897524</v>
      </c>
      <c r="F84" s="7">
        <v>1.1699311323586941E-2</v>
      </c>
      <c r="G84" s="4">
        <f t="shared" si="8"/>
        <v>14403.325576150142</v>
      </c>
      <c r="H84" s="4">
        <f t="shared" si="9"/>
        <v>94231.28258329528</v>
      </c>
      <c r="I84" s="4">
        <f t="shared" si="10"/>
        <v>1285.9993074007698</v>
      </c>
      <c r="J84" s="4">
        <f>G84*I$14+H84*I$15+I84*I$16</f>
        <v>194248.14345065804</v>
      </c>
      <c r="K84" s="4">
        <f t="shared" si="11"/>
        <v>109920.6074668462</v>
      </c>
      <c r="L84" s="23">
        <v>0</v>
      </c>
      <c r="M84" s="4">
        <f t="shared" si="12"/>
        <v>194248.14345065804</v>
      </c>
      <c r="N84" s="4">
        <f>MIN($D$30*I$11,$D$28*I$12*I$11,I$7)</f>
        <v>105623.25184755895</v>
      </c>
      <c r="O84" s="4">
        <f>N84/Supuestos!$B$14*I$14</f>
        <v>124338.37178429832</v>
      </c>
      <c r="P84" s="4">
        <f>N84*I$16-O84</f>
        <v>105223.2037811863</v>
      </c>
      <c r="Q84" s="4">
        <f>401988.207688244*MIN(1,$D$30/3911.97229065033)</f>
        <v>401988.207688244</v>
      </c>
      <c r="R84" s="4">
        <f t="shared" si="13"/>
        <v>507211.41146943031</v>
      </c>
      <c r="S84" s="4">
        <f>Q84/I$17</f>
        <v>978.00211100952254</v>
      </c>
      <c r="T84" s="4">
        <f>I$9-S84</f>
        <v>1145.9978889904773</v>
      </c>
    </row>
    <row r="85" spans="1:20" x14ac:dyDescent="0.3">
      <c r="B85" t="s">
        <v>93</v>
      </c>
      <c r="C85" s="4">
        <f>$D$26*J$21</f>
        <v>119913.75360000001</v>
      </c>
      <c r="D85" s="7">
        <v>0.13204499904097669</v>
      </c>
      <c r="E85" s="7">
        <v>0.85676361604598861</v>
      </c>
      <c r="F85" s="7">
        <v>1.119138491303466E-2</v>
      </c>
      <c r="G85" s="4">
        <f t="shared" si="8"/>
        <v>15834.011479111916</v>
      </c>
      <c r="H85" s="4">
        <f t="shared" si="9"/>
        <v>102737.74114798369</v>
      </c>
      <c r="I85" s="4">
        <f t="shared" si="10"/>
        <v>1342.0009729043959</v>
      </c>
      <c r="J85" s="4">
        <f>G85*J$14+H85*J$15+I85*J$16</f>
        <v>207193.82464170628</v>
      </c>
      <c r="K85" s="4">
        <f t="shared" si="11"/>
        <v>119913.7536</v>
      </c>
      <c r="L85" s="23">
        <v>0</v>
      </c>
      <c r="M85" s="4">
        <f t="shared" si="12"/>
        <v>207193.82464170628</v>
      </c>
      <c r="N85" s="4">
        <f>MIN($D$30*J$11,$D$28*J$12*J$11,J$7)</f>
        <v>105623.25184755895</v>
      </c>
      <c r="O85" s="4">
        <f>N85/Supuestos!$B$14*J$14</f>
        <v>121686.78806604189</v>
      </c>
      <c r="P85" s="4">
        <f>N85*J$16-O85</f>
        <v>102847.12071149892</v>
      </c>
      <c r="Q85" s="4">
        <f>392941.671717752*MIN(1,$D$30/3911.97229065033)</f>
        <v>392941.671717752</v>
      </c>
      <c r="R85" s="4">
        <f t="shared" si="13"/>
        <v>495788.7924292509</v>
      </c>
      <c r="S85" s="4">
        <f>Q85/J$17</f>
        <v>978.00207008251289</v>
      </c>
      <c r="T85" s="4">
        <f>J$9-S85</f>
        <v>913.99792991748711</v>
      </c>
    </row>
    <row r="86" spans="1:20" x14ac:dyDescent="0.3">
      <c r="B86" t="s">
        <v>94</v>
      </c>
      <c r="C86" s="4">
        <f>$D$26*K$21</f>
        <v>116770.85280000002</v>
      </c>
      <c r="D86" s="7">
        <v>0.14507312032382469</v>
      </c>
      <c r="E86" s="7">
        <v>0.84365981279598534</v>
      </c>
      <c r="F86" s="7">
        <v>1.126421229015195E-2</v>
      </c>
      <c r="G86" s="4">
        <f t="shared" si="8"/>
        <v>16940.311978570026</v>
      </c>
      <c r="H86" s="4">
        <f t="shared" si="9"/>
        <v>98514.875813275576</v>
      </c>
      <c r="I86" s="4">
        <f t="shared" si="10"/>
        <v>1315.3316752412845</v>
      </c>
      <c r="J86" s="4">
        <f>G86*K$14+H86*K$15+I86*K$16</f>
        <v>200779.99919903203</v>
      </c>
      <c r="K86" s="4">
        <f t="shared" si="11"/>
        <v>116770.51946708688</v>
      </c>
      <c r="L86" s="23">
        <v>0</v>
      </c>
      <c r="M86" s="4">
        <f t="shared" si="12"/>
        <v>200779.99919903203</v>
      </c>
      <c r="N86" s="4">
        <f>MIN($D$30*K$11,$D$28*K$12*K$11,K$7)</f>
        <v>93887.334975607955</v>
      </c>
      <c r="O86" s="4">
        <f>N86/Supuestos!$B$14*K$14</f>
        <v>108214.9334901148</v>
      </c>
      <c r="P86" s="4">
        <f>N86*K$16-O86</f>
        <v>91474.039269505753</v>
      </c>
      <c r="Q86" s="4">
        <f>393166.7897999*MIN(1,$D$30/3911.97229065033)</f>
        <v>393166.78979990003</v>
      </c>
      <c r="R86" s="4">
        <f t="shared" si="13"/>
        <v>484640.82906940579</v>
      </c>
      <c r="S86" s="4">
        <f>Q86/K$17</f>
        <v>978.00251187756533</v>
      </c>
      <c r="T86" s="4">
        <f>K$9-S86</f>
        <v>924.99748812243467</v>
      </c>
    </row>
    <row r="87" spans="1:20" x14ac:dyDescent="0.3">
      <c r="B87" t="s">
        <v>95</v>
      </c>
      <c r="C87" s="4">
        <f>$D$26*L$21</f>
        <v>142813.94959999999</v>
      </c>
      <c r="D87" s="7">
        <v>0.16278516111865779</v>
      </c>
      <c r="E87" s="7">
        <v>0.8260231256506132</v>
      </c>
      <c r="F87" s="7">
        <v>1.119171323072901E-2</v>
      </c>
      <c r="G87" s="4">
        <f t="shared" si="8"/>
        <v>23247.991795627873</v>
      </c>
      <c r="H87" s="4">
        <f t="shared" si="9"/>
        <v>117967.62503510114</v>
      </c>
      <c r="I87" s="4">
        <f t="shared" si="10"/>
        <v>1598.3327692709859</v>
      </c>
      <c r="J87" s="4">
        <f>G87*L$14+H87*L$15+I87*L$16</f>
        <v>243887.52829712332</v>
      </c>
      <c r="K87" s="4">
        <f t="shared" si="11"/>
        <v>142813.94959999999</v>
      </c>
      <c r="L87" s="23">
        <v>0</v>
      </c>
      <c r="M87" s="4">
        <f t="shared" si="12"/>
        <v>243887.52829712332</v>
      </c>
      <c r="N87" s="4">
        <f>MIN($D$30*L$11,$D$28*L$12*L$11,L$7)</f>
        <v>101711.27955690862</v>
      </c>
      <c r="O87" s="4">
        <f>N87/Supuestos!$B$14*L$14</f>
        <v>117296.4141640141</v>
      </c>
      <c r="P87" s="4">
        <f>N87*L$16-O87</f>
        <v>99155.359861043107</v>
      </c>
      <c r="Q87" s="4">
        <f>393411.13818844*MIN(1,$D$30/3911.97229065033)</f>
        <v>393411.13818844</v>
      </c>
      <c r="R87" s="4">
        <f t="shared" si="13"/>
        <v>492566.49804948311</v>
      </c>
      <c r="S87" s="4">
        <f>Q87/L$17</f>
        <v>978.00213341729238</v>
      </c>
      <c r="T87" s="4">
        <f>L$9-S87</f>
        <v>792.99786658270762</v>
      </c>
    </row>
    <row r="88" spans="1:20" x14ac:dyDescent="0.3">
      <c r="B88" t="s">
        <v>96</v>
      </c>
      <c r="C88" s="4">
        <f>$D$26*M$21</f>
        <v>126521.90400000001</v>
      </c>
      <c r="D88" s="7">
        <v>0.13437715706886291</v>
      </c>
      <c r="E88" s="7">
        <v>0.86404472476459959</v>
      </c>
      <c r="F88" s="7">
        <v>1.578118166537572E-3</v>
      </c>
      <c r="G88" s="4">
        <f t="shared" si="8"/>
        <v>17001.653766459596</v>
      </c>
      <c r="H88" s="4">
        <f t="shared" si="9"/>
        <v>109320.58371837311</v>
      </c>
      <c r="I88" s="4">
        <f t="shared" si="10"/>
        <v>199.66651516732273</v>
      </c>
      <c r="J88" s="4">
        <f>G88*M$14+H88*M$15+I88*M$16</f>
        <v>218252.91166467324</v>
      </c>
      <c r="K88" s="4">
        <f t="shared" si="11"/>
        <v>126521.90400000002</v>
      </c>
      <c r="L88" s="23">
        <v>0</v>
      </c>
      <c r="M88" s="4">
        <f t="shared" si="12"/>
        <v>218252.91166467324</v>
      </c>
      <c r="N88" s="4">
        <f>MIN($D$30*M$11,$D$28*M$12*M$11,M$7)</f>
        <v>89975.36268495761</v>
      </c>
      <c r="O88" s="4">
        <f>N88/Supuestos!$B$14*M$14</f>
        <v>103752.84009609175</v>
      </c>
      <c r="P88" s="4">
        <f>N88*M$16-O88</f>
        <v>87714.731697498049</v>
      </c>
      <c r="Q88" s="4">
        <f>393391.73145722*MIN(1,$D$30/3911.97229065033)</f>
        <v>393391.73145721998</v>
      </c>
      <c r="R88" s="4">
        <f t="shared" si="13"/>
        <v>481106.46315471805</v>
      </c>
      <c r="S88" s="4">
        <f>Q88/M$17</f>
        <v>978.00251456150545</v>
      </c>
      <c r="T88" s="4">
        <f>M$9-S88</f>
        <v>600.99748543849455</v>
      </c>
    </row>
    <row r="89" spans="1:20" x14ac:dyDescent="0.3">
      <c r="B89" s="3" t="s">
        <v>97</v>
      </c>
      <c r="C89" s="9">
        <f>SUM(C77:C88)</f>
        <v>1393628.0276000001</v>
      </c>
      <c r="G89" s="9">
        <f>SUM(G77:G88)</f>
        <v>200415.66875845904</v>
      </c>
      <c r="H89" s="9">
        <f>SUM(H77:H88)</f>
        <v>1185984.3609682107</v>
      </c>
      <c r="I89" s="9">
        <f>SUM(I77:I88)</f>
        <v>7227.9978748342164</v>
      </c>
      <c r="J89" s="9">
        <f>SUM(J77:J88)</f>
        <v>2519359.8322272613</v>
      </c>
      <c r="K89" s="9">
        <f>SUM(K77:K88)</f>
        <v>1393628.0276015038</v>
      </c>
      <c r="M89" s="9">
        <f t="shared" ref="M89:R89" si="14">SUM(M77:M88)</f>
        <v>2519359.8322272613</v>
      </c>
      <c r="N89" s="9">
        <f t="shared" si="14"/>
        <v>1089708.9593617723</v>
      </c>
      <c r="O89" s="9">
        <f t="shared" si="14"/>
        <v>1315849.0044858579</v>
      </c>
      <c r="P89" s="9">
        <f t="shared" si="14"/>
        <v>1122658.9840760718</v>
      </c>
      <c r="Q89" s="9">
        <f t="shared" si="14"/>
        <v>6960237.9130932819</v>
      </c>
      <c r="R89" s="9">
        <f t="shared" si="14"/>
        <v>8082896.8971693534</v>
      </c>
      <c r="S89" s="4">
        <f>AVERAGE(S77:S88)</f>
        <v>1344.7525780524941</v>
      </c>
      <c r="T89" s="4">
        <f>AVERAGE(T77:T88)</f>
        <v>450.24742194750593</v>
      </c>
    </row>
    <row r="92" spans="1:20" x14ac:dyDescent="0.3">
      <c r="A92" s="1" t="s">
        <v>168</v>
      </c>
    </row>
    <row r="93" spans="1:20" x14ac:dyDescent="0.3">
      <c r="B93" s="2" t="s">
        <v>169</v>
      </c>
      <c r="C93" s="2" t="s">
        <v>170</v>
      </c>
      <c r="D93" s="2" t="s">
        <v>171</v>
      </c>
      <c r="E93" s="2" t="s">
        <v>172</v>
      </c>
      <c r="F93" s="2" t="s">
        <v>173</v>
      </c>
      <c r="G93" s="2" t="s">
        <v>174</v>
      </c>
      <c r="H93" s="2" t="s">
        <v>175</v>
      </c>
      <c r="I93" s="2" t="s">
        <v>176</v>
      </c>
      <c r="J93" s="2" t="s">
        <v>177</v>
      </c>
      <c r="K93" s="2" t="s">
        <v>178</v>
      </c>
      <c r="L93" s="2" t="s">
        <v>179</v>
      </c>
      <c r="M93" s="2" t="s">
        <v>180</v>
      </c>
      <c r="N93" s="2" t="s">
        <v>181</v>
      </c>
      <c r="O93" s="2" t="s">
        <v>182</v>
      </c>
      <c r="P93" s="2" t="s">
        <v>183</v>
      </c>
    </row>
    <row r="94" spans="1:20" x14ac:dyDescent="0.3">
      <c r="B94" t="s">
        <v>184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f>-$C$34</f>
        <v>-7770789</v>
      </c>
      <c r="N94" s="4">
        <f>-$C$36</f>
        <v>-20437326</v>
      </c>
      <c r="O94" s="4">
        <f>M94</f>
        <v>-7770789</v>
      </c>
      <c r="P94" s="4">
        <f>N94</f>
        <v>-20437326</v>
      </c>
    </row>
    <row r="95" spans="1:20" x14ac:dyDescent="0.3">
      <c r="B95" s="18">
        <f>Supuestos!$B$25+1-1</f>
        <v>2026</v>
      </c>
      <c r="C95" s="4">
        <f>$C$39*(1+Supuestos!$B$9)^(1-1)</f>
        <v>40064390.116524674</v>
      </c>
      <c r="D95" s="4">
        <f>IF(B95&lt;=Supuestos!$B$26,$C$38*(1+Supuestos!$B$9)^(1-1),0)</f>
        <v>7886060.9072246766</v>
      </c>
      <c r="E95" s="4">
        <f t="shared" ref="E95:E114" si="15">C95-D95</f>
        <v>32178329.209299996</v>
      </c>
      <c r="F95" s="4">
        <f>$C$43*(1+Supuestos!$B$9)^(1-1)*(1-Supuestos!$B$11)^(1-1)</f>
        <v>2044419.0583522562</v>
      </c>
      <c r="G95" s="4">
        <f>$C$44*(1+Supuestos!$B$9)^(1-1)*(1-Supuestos!$B$12)^(1-1)</f>
        <v>6735747.4143077945</v>
      </c>
      <c r="H95" s="4">
        <f>IF(1&lt;=Supuestos!$B$18,$C$42*$C$31*(1+Supuestos!$B$10)^(1-1)*(1-Supuestos!$B$11)^(1-1),0)</f>
        <v>1249199.25539213</v>
      </c>
      <c r="I95" s="4">
        <f>IF(1&lt;=Supuestos!$B$19,G95*$C$32,0)</f>
        <v>3367873.7071538973</v>
      </c>
      <c r="J95" s="9">
        <f t="shared" ref="J95:J114" si="16">F95+G95-H95-I95</f>
        <v>4163093.5101140221</v>
      </c>
      <c r="K95" s="4">
        <f t="shared" ref="K95:K114" si="17">K94+J95</f>
        <v>4163093.5101140221</v>
      </c>
      <c r="L95" s="7">
        <f t="shared" ref="L95:L114" si="18">IF(E95&gt;0,J95/E95,0)</f>
        <v>0.12937568893138271</v>
      </c>
      <c r="M95" s="4">
        <f>IF(1&lt;=Supuestos!$B$18,H95-Supuestos!$B$22*$C$26*(1+Supuestos!$B$9)^(1-1),0)</f>
        <v>1038027.25539213</v>
      </c>
      <c r="N95" s="4">
        <f>IF(1&lt;=Supuestos!$B$19,I95-Supuestos!$B$23*$C$29*(1+Supuestos!$B$9)^(1-1),0)</f>
        <v>2619253.7071538973</v>
      </c>
      <c r="O95" s="4">
        <f t="shared" ref="O95:O114" si="19">O94+M95</f>
        <v>-6732761.7446078695</v>
      </c>
      <c r="P95" s="4">
        <f t="shared" ref="P95:P114" si="20">P94+N95</f>
        <v>-17818072.292846102</v>
      </c>
    </row>
    <row r="96" spans="1:20" x14ac:dyDescent="0.3">
      <c r="B96" s="18">
        <f>Supuestos!$B$25+2-1</f>
        <v>2027</v>
      </c>
      <c r="C96" s="4">
        <f>$C$39*(1+Supuestos!$B$9)^(2-1)</f>
        <v>42468253.523516156</v>
      </c>
      <c r="D96" s="4">
        <f>IF(B96&lt;=Supuestos!$B$26,$C$38*(1+Supuestos!$B$9)^(2-1),0)</f>
        <v>8359224.561658158</v>
      </c>
      <c r="E96" s="4">
        <f t="shared" si="15"/>
        <v>34109028.961857997</v>
      </c>
      <c r="F96" s="4">
        <f>$C$43*(1+Supuestos!$B$9)^(2-1)*(1-Supuestos!$B$11)^(2-1)</f>
        <v>2156248.780844125</v>
      </c>
      <c r="G96" s="4">
        <f>$C$44*(1+Supuestos!$B$9)^(2-1)*(1-Supuestos!$B$12)^(2-1)</f>
        <v>7050643.6059266841</v>
      </c>
      <c r="H96" s="4">
        <f>IF(2&lt;=Supuestos!$B$18,$C$42*$C$31*(1+Supuestos!$B$10)^(2-1)*(1-Supuestos!$B$11)^(2-1),0)</f>
        <v>1305100.9220709279</v>
      </c>
      <c r="I96" s="4">
        <f>IF(2&lt;=Supuestos!$B$19,G96*$C$32,0)</f>
        <v>3525321.8029633421</v>
      </c>
      <c r="J96" s="9">
        <f t="shared" si="16"/>
        <v>4376469.6617365386</v>
      </c>
      <c r="K96" s="4">
        <f t="shared" si="17"/>
        <v>8539563.1718505602</v>
      </c>
      <c r="L96" s="7">
        <f t="shared" si="18"/>
        <v>0.12830824549800207</v>
      </c>
      <c r="M96" s="4">
        <f>IF(2&lt;=Supuestos!$B$18,H96-Supuestos!$B$22*$C$26*(1+Supuestos!$B$9)^(2-1),0)</f>
        <v>1081258.6020709279</v>
      </c>
      <c r="N96" s="4">
        <f>IF(2&lt;=Supuestos!$B$19,I96-Supuestos!$B$23*$C$29*(1+Supuestos!$B$9)^(2-1),0)</f>
        <v>2731784.6029633419</v>
      </c>
      <c r="O96" s="4">
        <f t="shared" si="19"/>
        <v>-5651503.1425369419</v>
      </c>
      <c r="P96" s="4">
        <f t="shared" si="20"/>
        <v>-15086287.689882761</v>
      </c>
    </row>
    <row r="97" spans="2:16" x14ac:dyDescent="0.3">
      <c r="B97" s="18">
        <f>Supuestos!$B$25+3-1</f>
        <v>2028</v>
      </c>
      <c r="C97" s="4">
        <f>$C$39*(1+Supuestos!$B$9)^(3-1)</f>
        <v>45016348.734927133</v>
      </c>
      <c r="D97" s="4">
        <f>IF(B97&lt;=Supuestos!$B$26,$C$38*(1+Supuestos!$B$9)^(3-1),0)</f>
        <v>8860778.0353576485</v>
      </c>
      <c r="E97" s="4">
        <f t="shared" si="15"/>
        <v>36155570.699569486</v>
      </c>
      <c r="F97" s="4">
        <f>$C$43*(1+Supuestos!$B$9)^(3-1)*(1-Supuestos!$B$11)^(3-1)</f>
        <v>2274195.5891562989</v>
      </c>
      <c r="G97" s="4">
        <f>$C$44*(1+Supuestos!$B$9)^(3-1)*(1-Supuestos!$B$12)^(3-1)</f>
        <v>7380261.1945037581</v>
      </c>
      <c r="H97" s="4">
        <f>IF(3&lt;=Supuestos!$B$18,$C$42*$C$31*(1+Supuestos!$B$10)^(3-1)*(1-Supuestos!$B$11)^(3-1),0)</f>
        <v>1363504.1883336019</v>
      </c>
      <c r="I97" s="4">
        <f>IF(3&lt;=Supuestos!$B$19,G97*$C$32,0)</f>
        <v>3690130.5972518791</v>
      </c>
      <c r="J97" s="9">
        <f t="shared" si="16"/>
        <v>4600821.9980745772</v>
      </c>
      <c r="K97" s="4">
        <f t="shared" si="17"/>
        <v>13140385.169925138</v>
      </c>
      <c r="L97" s="7">
        <f t="shared" si="18"/>
        <v>0.12725070878577946</v>
      </c>
      <c r="M97" s="4">
        <f>IF(3&lt;=Supuestos!$B$18,H97-Supuestos!$B$22*$C$26*(1+Supuestos!$B$9)^(3-1),0)</f>
        <v>1126231.3291336019</v>
      </c>
      <c r="N97" s="4">
        <f>IF(3&lt;=Supuestos!$B$19,I97-Supuestos!$B$23*$C$29*(1+Supuestos!$B$9)^(3-1),0)</f>
        <v>2848981.165251879</v>
      </c>
      <c r="O97" s="4">
        <f t="shared" si="19"/>
        <v>-4525271.8134033401</v>
      </c>
      <c r="P97" s="4">
        <f t="shared" si="20"/>
        <v>-12237306.524630882</v>
      </c>
    </row>
    <row r="98" spans="2:16" x14ac:dyDescent="0.3">
      <c r="B98" s="18">
        <f>Supuestos!$B$25+4-1</f>
        <v>2029</v>
      </c>
      <c r="C98" s="4">
        <f>$C$39*(1+Supuestos!$B$9)^(4-1)</f>
        <v>47717329.659022763</v>
      </c>
      <c r="D98" s="4">
        <f>IF(B98&lt;=Supuestos!$B$26,$C$38*(1+Supuestos!$B$9)^(4-1),0)</f>
        <v>9392424.7174791079</v>
      </c>
      <c r="E98" s="4">
        <f t="shared" si="15"/>
        <v>38324904.941543654</v>
      </c>
      <c r="F98" s="4">
        <f>$C$43*(1+Supuestos!$B$9)^(4-1)*(1-Supuestos!$B$11)^(4-1)</f>
        <v>2398594.0878831483</v>
      </c>
      <c r="G98" s="4">
        <f>$C$44*(1+Supuestos!$B$9)^(4-1)*(1-Supuestos!$B$12)^(4-1)</f>
        <v>7725288.4053468099</v>
      </c>
      <c r="H98" s="4">
        <f>IF(4&lt;=Supuestos!$B$18,$C$42*$C$31*(1+Supuestos!$B$10)^(4-1)*(1-Supuestos!$B$11)^(4-1),0)</f>
        <v>1424521.0007615308</v>
      </c>
      <c r="I98" s="4">
        <f>IF(4&lt;=Supuestos!$B$19,G98*$C$32,0)</f>
        <v>3862644.2026734049</v>
      </c>
      <c r="J98" s="9">
        <f t="shared" si="16"/>
        <v>4836717.2897950225</v>
      </c>
      <c r="K98" s="4">
        <f t="shared" si="17"/>
        <v>17977102.459720161</v>
      </c>
      <c r="L98" s="7">
        <f t="shared" si="18"/>
        <v>0.12620298203406866</v>
      </c>
      <c r="M98" s="4">
        <f>IF(4&lt;=Supuestos!$B$18,H98-Supuestos!$B$22*$C$26*(1+Supuestos!$B$9)^(4-1),0)</f>
        <v>1173011.7700095307</v>
      </c>
      <c r="N98" s="4">
        <f>IF(4&lt;=Supuestos!$B$19,I98-Supuestos!$B$23*$C$29*(1+Supuestos!$B$9)^(4-1),0)</f>
        <v>2971025.8047534046</v>
      </c>
      <c r="O98" s="4">
        <f t="shared" si="19"/>
        <v>-3352260.0433938093</v>
      </c>
      <c r="P98" s="4">
        <f t="shared" si="20"/>
        <v>-9266280.7198774777</v>
      </c>
    </row>
    <row r="99" spans="2:16" x14ac:dyDescent="0.3">
      <c r="B99" s="18">
        <f>Supuestos!$B$25+5-1</f>
        <v>2030</v>
      </c>
      <c r="C99" s="4">
        <f>$C$39*(1+Supuestos!$B$9)^(5-1)</f>
        <v>50580369.438564129</v>
      </c>
      <c r="D99" s="4">
        <f>IF(B99&lt;=Supuestos!$B$26,$C$38*(1+Supuestos!$B$9)^(5-1),0)</f>
        <v>9955970.2005278543</v>
      </c>
      <c r="E99" s="4">
        <f t="shared" si="15"/>
        <v>40624399.238036275</v>
      </c>
      <c r="F99" s="4">
        <f>$C$43*(1+Supuestos!$B$9)^(5-1)*(1-Supuestos!$B$11)^(5-1)</f>
        <v>2529797.1844903566</v>
      </c>
      <c r="G99" s="4">
        <f>$C$44*(1+Supuestos!$B$9)^(5-1)*(1-Supuestos!$B$12)^(5-1)</f>
        <v>8086445.6382967727</v>
      </c>
      <c r="H99" s="4">
        <f>IF(5&lt;=Supuestos!$B$18,$C$42*$C$31*(1+Supuestos!$B$10)^(5-1)*(1-Supuestos!$B$11)^(5-1),0)</f>
        <v>1488268.315545609</v>
      </c>
      <c r="I99" s="4">
        <f>IF(5&lt;=Supuestos!$B$19,G99*$C$32,0)</f>
        <v>4043222.8191483864</v>
      </c>
      <c r="J99" s="9">
        <f t="shared" si="16"/>
        <v>5084751.6880931333</v>
      </c>
      <c r="K99" s="4">
        <f t="shared" si="17"/>
        <v>23061854.147813294</v>
      </c>
      <c r="L99" s="7">
        <f t="shared" si="18"/>
        <v>0.12516496941405411</v>
      </c>
      <c r="M99" s="4">
        <f>IF(5&lt;=Supuestos!$B$18,H99-Supuestos!$B$22*$C$26*(1+Supuestos!$B$9)^(5-1),0)</f>
        <v>1221668.530948489</v>
      </c>
      <c r="N99" s="4">
        <f>IF(5&lt;=Supuestos!$B$19,I99-Supuestos!$B$23*$C$29*(1+Supuestos!$B$9)^(5-1),0)</f>
        <v>3098107.3173531862</v>
      </c>
      <c r="O99" s="4">
        <f t="shared" si="19"/>
        <v>-2130591.5124453204</v>
      </c>
      <c r="P99" s="4">
        <f t="shared" si="20"/>
        <v>-6168173.4025242915</v>
      </c>
    </row>
    <row r="100" spans="2:16" x14ac:dyDescent="0.3">
      <c r="B100" s="18">
        <f>Supuestos!$B$25+6-1</f>
        <v>2031</v>
      </c>
      <c r="C100" s="4">
        <f>$C$39*(1+Supuestos!$B$9)^(6-1)</f>
        <v>53615191.604877986</v>
      </c>
      <c r="D100" s="4">
        <f>IF(B100&lt;=Supuestos!$B$26,$C$38*(1+Supuestos!$B$9)^(6-1),0)</f>
        <v>10553328.412559526</v>
      </c>
      <c r="E100" s="4">
        <f t="shared" si="15"/>
        <v>43061863.192318462</v>
      </c>
      <c r="F100" s="4">
        <f>$C$43*(1+Supuestos!$B$9)^(6-1)*(1-Supuestos!$B$11)^(6-1)</f>
        <v>2668177.0904819798</v>
      </c>
      <c r="G100" s="4">
        <f>$C$44*(1+Supuestos!$B$9)^(6-1)*(1-Supuestos!$B$12)^(6-1)</f>
        <v>8464486.9718871489</v>
      </c>
      <c r="H100" s="4">
        <f>IF(6&lt;=Supuestos!$B$18,$C$42*$C$31*(1+Supuestos!$B$10)^(6-1)*(1-Supuestos!$B$11)^(6-1),0)</f>
        <v>1554868.3226662753</v>
      </c>
      <c r="I100" s="4">
        <f>IF(6&lt;=Supuestos!$B$19,G100*$C$32,0)</f>
        <v>4232243.4859435745</v>
      </c>
      <c r="J100" s="9">
        <f t="shared" si="16"/>
        <v>5345552.2537592798</v>
      </c>
      <c r="K100" s="4">
        <f t="shared" si="17"/>
        <v>28407406.401572574</v>
      </c>
      <c r="L100" s="7">
        <f t="shared" si="18"/>
        <v>0.12413657602053874</v>
      </c>
      <c r="M100" s="4">
        <f>IF(6&lt;=Supuestos!$B$18,H100-Supuestos!$B$22*$C$26*(1+Supuestos!$B$9)^(6-1),0)</f>
        <v>1272272.550993328</v>
      </c>
      <c r="N100" s="4">
        <f>IF(6&lt;=Supuestos!$B$19,I100-Supuestos!$B$23*$C$29*(1+Supuestos!$B$9)^(6-1),0)</f>
        <v>3230421.054040662</v>
      </c>
      <c r="O100" s="4">
        <f t="shared" si="19"/>
        <v>-858318.96145199239</v>
      </c>
      <c r="P100" s="4">
        <f t="shared" si="20"/>
        <v>-2937752.3484836295</v>
      </c>
    </row>
    <row r="101" spans="2:16" x14ac:dyDescent="0.3">
      <c r="B101" s="18">
        <f>Supuestos!$B$25+7-1</f>
        <v>2032</v>
      </c>
      <c r="C101" s="4">
        <f>$C$39*(1+Supuestos!$B$9)^(7-1)</f>
        <v>56832103.101170667</v>
      </c>
      <c r="D101" s="4">
        <f>IF(B101&lt;=Supuestos!$B$26,$C$38*(1+Supuestos!$B$9)^(7-1),0)</f>
        <v>11186528.117313098</v>
      </c>
      <c r="E101" s="4">
        <f t="shared" si="15"/>
        <v>45645574.983857572</v>
      </c>
      <c r="F101" s="4">
        <f>$C$43*(1+Supuestos!$B$9)^(7-1)*(1-Supuestos!$B$11)^(7-1)</f>
        <v>2814126.3773313444</v>
      </c>
      <c r="G101" s="4">
        <f>$C$44*(1+Supuestos!$B$9)^(7-1)*(1-Supuestos!$B$12)^(7-1)</f>
        <v>8860201.7378228754</v>
      </c>
      <c r="H101" s="4">
        <f>IF(7&lt;=Supuestos!$B$18,$C$42*$C$31*(1+Supuestos!$B$10)^(7-1)*(1-Supuestos!$B$11)^(7-1),0)</f>
        <v>1624448.680105591</v>
      </c>
      <c r="I101" s="4">
        <f>IF(7&lt;=Supuestos!$B$19,G101*$C$32,0)</f>
        <v>4430100.8689114377</v>
      </c>
      <c r="J101" s="9">
        <f t="shared" si="16"/>
        <v>5619778.5661371909</v>
      </c>
      <c r="K101" s="4">
        <f t="shared" si="17"/>
        <v>34027184.967709765</v>
      </c>
      <c r="L101" s="7">
        <f t="shared" si="18"/>
        <v>0.12311770786378766</v>
      </c>
      <c r="M101" s="4">
        <f>IF(7&lt;=Supuestos!$B$18,H101-Supuestos!$B$22*$C$26*(1+Supuestos!$B$9)^(7-1),0)</f>
        <v>1324897.1621322669</v>
      </c>
      <c r="N101" s="4">
        <f>IF(7&lt;=Supuestos!$B$19,I101-Supuestos!$B$23*$C$29*(1+Supuestos!$B$9)^(7-1),0)</f>
        <v>3368169.0910943504</v>
      </c>
      <c r="O101" s="4">
        <f t="shared" si="19"/>
        <v>466578.20068027452</v>
      </c>
      <c r="P101" s="4">
        <f t="shared" si="20"/>
        <v>430416.74261072092</v>
      </c>
    </row>
    <row r="102" spans="2:16" x14ac:dyDescent="0.3">
      <c r="B102" s="18">
        <f>Supuestos!$B$25+8-1</f>
        <v>2033</v>
      </c>
      <c r="C102" s="4">
        <f>$C$39*(1+Supuestos!$B$9)^(8-1)</f>
        <v>60242029.287240915</v>
      </c>
      <c r="D102" s="4">
        <f>IF(B102&lt;=Supuestos!$B$26,$C$38*(1+Supuestos!$B$9)^(8-1),0)</f>
        <v>0</v>
      </c>
      <c r="E102" s="4">
        <f t="shared" si="15"/>
        <v>60242029.287240915</v>
      </c>
      <c r="F102" s="4">
        <f>$C$43*(1+Supuestos!$B$9)^(8-1)*(1-Supuestos!$B$11)^(8-1)</f>
        <v>2968059.0901713688</v>
      </c>
      <c r="G102" s="4">
        <f>$C$44*(1+Supuestos!$B$9)^(8-1)*(1-Supuestos!$B$12)^(8-1)</f>
        <v>9274416.1690660957</v>
      </c>
      <c r="H102" s="4">
        <f>IF(8&lt;=Supuestos!$B$18,$C$42*$C$31*(1+Supuestos!$B$10)^(8-1)*(1-Supuestos!$B$11)^(8-1),0)</f>
        <v>1697142.7585403165</v>
      </c>
      <c r="I102" s="4">
        <f>IF(8&lt;=Supuestos!$B$19,G102*$C$32,0)</f>
        <v>4637208.0845330479</v>
      </c>
      <c r="J102" s="9">
        <f t="shared" si="16"/>
        <v>5908124.4161640992</v>
      </c>
      <c r="K102" s="4">
        <f t="shared" si="17"/>
        <v>39935309.383873865</v>
      </c>
      <c r="L102" s="7">
        <f t="shared" si="18"/>
        <v>9.8073130770437417E-2</v>
      </c>
      <c r="M102" s="4">
        <f>IF(8&lt;=Supuestos!$B$18,H102-Supuestos!$B$22*$C$26*(1+Supuestos!$B$9)^(8-1),0)</f>
        <v>1379618.1494885928</v>
      </c>
      <c r="N102" s="4">
        <f>IF(8&lt;=Supuestos!$B$19,I102-Supuestos!$B$23*$C$29*(1+Supuestos!$B$9)^(8-1),0)</f>
        <v>3511560.4000469353</v>
      </c>
      <c r="O102" s="4">
        <f t="shared" si="19"/>
        <v>1846196.3501688673</v>
      </c>
      <c r="P102" s="4">
        <f t="shared" si="20"/>
        <v>3941977.1426576562</v>
      </c>
    </row>
    <row r="103" spans="2:16" x14ac:dyDescent="0.3">
      <c r="B103" s="18">
        <f>Supuestos!$B$25+9-1</f>
        <v>2034</v>
      </c>
      <c r="C103" s="4">
        <f>$C$39*(1+Supuestos!$B$9)^(9-1)</f>
        <v>63856551.044475362</v>
      </c>
      <c r="D103" s="4">
        <f>IF(B103&lt;=Supuestos!$B$26,$C$38*(1+Supuestos!$B$9)^(9-1),0)</f>
        <v>0</v>
      </c>
      <c r="E103" s="4">
        <f t="shared" si="15"/>
        <v>63856551.044475362</v>
      </c>
      <c r="F103" s="4">
        <f>$C$43*(1+Supuestos!$B$9)^(9-1)*(1-Supuestos!$B$11)^(9-1)</f>
        <v>3130411.9224037426</v>
      </c>
      <c r="G103" s="4">
        <f>$C$44*(1+Supuestos!$B$9)^(9-1)*(1-Supuestos!$B$12)^(9-1)</f>
        <v>9707995.1249699332</v>
      </c>
      <c r="H103" s="4">
        <f>IF(9&lt;=Supuestos!$B$18,$C$42*$C$31*(1+Supuestos!$B$10)^(9-1)*(1-Supuestos!$B$11)^(9-1),0)</f>
        <v>1773089.8969849953</v>
      </c>
      <c r="I103" s="4">
        <f>IF(9&lt;=Supuestos!$B$19,G103*$C$32,0)</f>
        <v>4853997.5624849666</v>
      </c>
      <c r="J103" s="9">
        <f t="shared" si="16"/>
        <v>6211319.5879037138</v>
      </c>
      <c r="K103" s="4">
        <f t="shared" si="17"/>
        <v>46146628.971777581</v>
      </c>
      <c r="L103" s="7">
        <f t="shared" si="18"/>
        <v>9.726988830915094E-2</v>
      </c>
      <c r="M103" s="4">
        <f>IF(9&lt;=Supuestos!$B$18,H103-Supuestos!$B$22*$C$26*(1+Supuestos!$B$9)^(9-1),0)</f>
        <v>1436513.8113901683</v>
      </c>
      <c r="N103" s="4">
        <f>IF(9&lt;=Supuestos!$B$19,I103-Supuestos!$B$23*$C$29*(1+Supuestos!$B$9)^(9-1),0)</f>
        <v>3660811.0169296875</v>
      </c>
      <c r="O103" s="4">
        <f t="shared" si="19"/>
        <v>3282710.1615590355</v>
      </c>
      <c r="P103" s="4">
        <f t="shared" si="20"/>
        <v>7602788.1595873442</v>
      </c>
    </row>
    <row r="104" spans="2:16" x14ac:dyDescent="0.3">
      <c r="B104" s="18">
        <f>Supuestos!$B$25+10-1</f>
        <v>2035</v>
      </c>
      <c r="C104" s="4">
        <f>$C$39*(1+Supuestos!$B$9)^(10-1)</f>
        <v>67687944.107143879</v>
      </c>
      <c r="D104" s="4">
        <f>IF(B104&lt;=Supuestos!$B$26,$C$38*(1+Supuestos!$B$9)^(10-1),0)</f>
        <v>0</v>
      </c>
      <c r="E104" s="4">
        <f t="shared" si="15"/>
        <v>67687944.107143879</v>
      </c>
      <c r="F104" s="4">
        <f>$C$43*(1+Supuestos!$B$9)^(10-1)*(1-Supuestos!$B$11)^(10-1)</f>
        <v>3301645.454559227</v>
      </c>
      <c r="G104" s="4">
        <f>$C$44*(1+Supuestos!$B$9)^(10-1)*(1-Supuestos!$B$12)^(10-1)</f>
        <v>10161843.897062279</v>
      </c>
      <c r="H104" s="4">
        <f>IF(10&lt;=Supuestos!$B$18,$C$42*$C$31*(1+Supuestos!$B$10)^(10-1)*(1-Supuestos!$B$11)^(10-1),0)</f>
        <v>1852435.6698750739</v>
      </c>
      <c r="I104" s="4">
        <f>IF(10&lt;=Supuestos!$B$19,G104*$C$32,0)</f>
        <v>5080921.9485311396</v>
      </c>
      <c r="J104" s="9">
        <f t="shared" si="16"/>
        <v>6530131.7332152929</v>
      </c>
      <c r="K104" s="4">
        <f t="shared" si="17"/>
        <v>52676760.704992875</v>
      </c>
      <c r="L104" s="7">
        <f t="shared" si="18"/>
        <v>9.6474074066700652E-2</v>
      </c>
      <c r="M104" s="4">
        <f>IF(10&lt;=Supuestos!$B$18,H104-Supuestos!$B$22*$C$26*(1+Supuestos!$B$9)^(10-1),0)</f>
        <v>1495665.0191445574</v>
      </c>
      <c r="N104" s="4">
        <f>IF(10&lt;=Supuestos!$B$19,I104-Supuestos!$B$23*$C$29*(1+Supuestos!$B$9)^(10-1),0)</f>
        <v>3816144.2102425438</v>
      </c>
      <c r="O104" s="4">
        <f t="shared" si="19"/>
        <v>4778375.1807035934</v>
      </c>
      <c r="P104" s="4">
        <f t="shared" si="20"/>
        <v>11418932.369829888</v>
      </c>
    </row>
    <row r="105" spans="2:16" x14ac:dyDescent="0.3">
      <c r="B105" s="18">
        <f>Supuestos!$B$25+11-1</f>
        <v>2036</v>
      </c>
      <c r="C105" s="4">
        <f>$C$39*(1+Supuestos!$B$9)^(11-1)</f>
        <v>71749220.753572524</v>
      </c>
      <c r="D105" s="4">
        <f>IF(B105&lt;=Supuestos!$B$26,$C$38*(1+Supuestos!$B$9)^(11-1),0)</f>
        <v>0</v>
      </c>
      <c r="E105" s="4">
        <f t="shared" si="15"/>
        <v>71749220.753572524</v>
      </c>
      <c r="F105" s="4">
        <f>$C$43*(1+Supuestos!$B$9)^(11-1)*(1-Supuestos!$B$11)^(11-1)</f>
        <v>3482245.4609236172</v>
      </c>
      <c r="G105" s="4">
        <f>$C$44*(1+Supuestos!$B$9)^(11-1)*(1-Supuestos!$B$12)^(11-1)</f>
        <v>10636910.09924994</v>
      </c>
      <c r="H105" s="4">
        <f>IF(11&lt;=Supuestos!$B$18,$C$42*$C$31*(1+Supuestos!$B$10)^(11-1)*(1-Supuestos!$B$11)^(11-1),0)</f>
        <v>1935332.1661019835</v>
      </c>
      <c r="I105" s="4">
        <f>IF(11&lt;=Supuestos!$B$19,G105*$C$32,0)</f>
        <v>5318455.0496249702</v>
      </c>
      <c r="J105" s="9">
        <f t="shared" si="16"/>
        <v>6865368.3444466051</v>
      </c>
      <c r="K105" s="4">
        <f t="shared" si="17"/>
        <v>59542129.049439482</v>
      </c>
      <c r="L105" s="7">
        <f t="shared" si="18"/>
        <v>9.5685615430252127E-2</v>
      </c>
      <c r="M105" s="4">
        <f>IF(11&lt;=Supuestos!$B$18,H105-Supuestos!$B$22*$C$26*(1+Supuestos!$B$9)^(11-1),0)</f>
        <v>1557155.2763276359</v>
      </c>
      <c r="N105" s="4">
        <f>IF(11&lt;=Supuestos!$B$19,I105-Supuestos!$B$23*$C$29*(1+Supuestos!$B$9)^(11-1),0)</f>
        <v>3977790.6470390586</v>
      </c>
      <c r="O105" s="4">
        <f t="shared" si="19"/>
        <v>6335530.4570312295</v>
      </c>
      <c r="P105" s="4">
        <f t="shared" si="20"/>
        <v>15396723.016868945</v>
      </c>
    </row>
    <row r="106" spans="2:16" x14ac:dyDescent="0.3">
      <c r="B106" s="18">
        <f>Supuestos!$B$25+12-1</f>
        <v>2037</v>
      </c>
      <c r="C106" s="4">
        <f>$C$39*(1+Supuestos!$B$9)^(12-1)</f>
        <v>76054173.998786882</v>
      </c>
      <c r="D106" s="4">
        <f>IF(B106&lt;=Supuestos!$B$26,$C$38*(1+Supuestos!$B$9)^(12-1),0)</f>
        <v>0</v>
      </c>
      <c r="E106" s="4">
        <f t="shared" si="15"/>
        <v>76054173.998786882</v>
      </c>
      <c r="F106" s="4">
        <f>$C$43*(1+Supuestos!$B$9)^(12-1)*(1-Supuestos!$B$11)^(12-1)</f>
        <v>3672724.2876361399</v>
      </c>
      <c r="G106" s="4">
        <f>$C$44*(1+Supuestos!$B$9)^(12-1)*(1-Supuestos!$B$12)^(12-1)</f>
        <v>11134185.646389877</v>
      </c>
      <c r="H106" s="4">
        <f>IF(12&lt;=Supuestos!$B$18,$C$42*$C$31*(1+Supuestos!$B$10)^(12-1)*(1-Supuestos!$B$11)^(12-1),0)</f>
        <v>2021938.2805350474</v>
      </c>
      <c r="I106" s="4">
        <f>IF(12&lt;=Supuestos!$B$19,G106*$C$32,0)</f>
        <v>5567092.8231949387</v>
      </c>
      <c r="J106" s="9">
        <f t="shared" si="16"/>
        <v>7217878.8302960312</v>
      </c>
      <c r="K106" s="4">
        <f t="shared" si="17"/>
        <v>66760007.879735515</v>
      </c>
      <c r="L106" s="7">
        <f t="shared" si="18"/>
        <v>9.4904440490158518E-2</v>
      </c>
      <c r="M106" s="4">
        <f>IF(12&lt;=Supuestos!$B$18,H106-Supuestos!$B$22*$C$26*(1+Supuestos!$B$9)^(12-1),0)</f>
        <v>1621070.7773742387</v>
      </c>
      <c r="N106" s="4">
        <f>IF(12&lt;=Supuestos!$B$19,I106-Supuestos!$B$23*$C$29*(1+Supuestos!$B$9)^(12-1),0)</f>
        <v>4145988.556453872</v>
      </c>
      <c r="O106" s="4">
        <f t="shared" si="19"/>
        <v>7956601.2344054682</v>
      </c>
      <c r="P106" s="4">
        <f t="shared" si="20"/>
        <v>19542711.573322818</v>
      </c>
    </row>
    <row r="107" spans="2:16" x14ac:dyDescent="0.3">
      <c r="B107" s="18">
        <f>Supuestos!$B$25+13-1</f>
        <v>2038</v>
      </c>
      <c r="C107" s="4">
        <f>$C$39*(1+Supuestos!$B$9)^(13-1)</f>
        <v>80617424.438714102</v>
      </c>
      <c r="D107" s="4">
        <f>IF(B107&lt;=Supuestos!$B$26,$C$38*(1+Supuestos!$B$9)^(13-1),0)</f>
        <v>0</v>
      </c>
      <c r="E107" s="4">
        <f t="shared" si="15"/>
        <v>80617424.438714102</v>
      </c>
      <c r="F107" s="4">
        <f>$C$43*(1+Supuestos!$B$9)^(13-1)*(1-Supuestos!$B$11)^(13-1)</f>
        <v>3873622.3061698368</v>
      </c>
      <c r="G107" s="4">
        <f>$C$44*(1+Supuestos!$B$9)^(13-1)*(1-Supuestos!$B$12)^(13-1)</f>
        <v>11654708.825358605</v>
      </c>
      <c r="H107" s="4">
        <f>IF(13&lt;=Supuestos!$B$18,$C$42*$C$31*(1+Supuestos!$B$10)^(13-1)*(1-Supuestos!$B$11)^(13-1),0)</f>
        <v>2112420.0185889909</v>
      </c>
      <c r="I107" s="4">
        <f>IF(13&lt;=Supuestos!$B$19,G107*$C$32,0)</f>
        <v>5827354.4126793025</v>
      </c>
      <c r="J107" s="9">
        <f t="shared" si="16"/>
        <v>7588556.7002601484</v>
      </c>
      <c r="K107" s="4">
        <f t="shared" si="17"/>
        <v>74348564.579995662</v>
      </c>
      <c r="L107" s="7">
        <f t="shared" si="18"/>
        <v>9.4130478033678924E-2</v>
      </c>
      <c r="M107" s="4">
        <f>IF(13&lt;=Supuestos!$B$18,H107-Supuestos!$B$22*$C$26*(1+Supuestos!$B$9)^(13-1),0)</f>
        <v>1687500.4652385337</v>
      </c>
      <c r="N107" s="4">
        <f>IF(13&lt;=Supuestos!$B$19,I107-Supuestos!$B$23*$C$29*(1+Supuestos!$B$9)^(13-1),0)</f>
        <v>4320983.8899337715</v>
      </c>
      <c r="O107" s="4">
        <f t="shared" si="19"/>
        <v>9644101.6996440012</v>
      </c>
      <c r="P107" s="4">
        <f t="shared" si="20"/>
        <v>23863695.46325659</v>
      </c>
    </row>
    <row r="108" spans="2:16" x14ac:dyDescent="0.3">
      <c r="B108" s="18">
        <f>Supuestos!$B$25+14-1</f>
        <v>2039</v>
      </c>
      <c r="C108" s="4">
        <f>$C$39*(1+Supuestos!$B$9)^(14-1)</f>
        <v>85454469.905036956</v>
      </c>
      <c r="D108" s="4">
        <f>IF(B108&lt;=Supuestos!$B$26,$C$38*(1+Supuestos!$B$9)^(14-1),0)</f>
        <v>0</v>
      </c>
      <c r="E108" s="4">
        <f t="shared" si="15"/>
        <v>85454469.905036956</v>
      </c>
      <c r="F108" s="4">
        <f>$C$43*(1+Supuestos!$B$9)^(14-1)*(1-Supuestos!$B$11)^(14-1)</f>
        <v>4085509.4463173277</v>
      </c>
      <c r="G108" s="4">
        <f>$C$44*(1+Supuestos!$B$9)^(14-1)*(1-Supuestos!$B$12)^(14-1)</f>
        <v>12199566.462944122</v>
      </c>
      <c r="H108" s="4">
        <f>IF(14&lt;=Supuestos!$B$18,$C$42*$C$31*(1+Supuestos!$B$10)^(14-1)*(1-Supuestos!$B$11)^(14-1),0)</f>
        <v>2206950.8144208486</v>
      </c>
      <c r="I108" s="4">
        <f>IF(14&lt;=Supuestos!$B$19,G108*$C$32,0)</f>
        <v>6099783.231472061</v>
      </c>
      <c r="J108" s="9">
        <f t="shared" si="16"/>
        <v>7978341.8633685401</v>
      </c>
      <c r="K108" s="4">
        <f t="shared" si="17"/>
        <v>82326906.443364203</v>
      </c>
      <c r="L108" s="7">
        <f t="shared" si="18"/>
        <v>9.3363657538741235E-2</v>
      </c>
      <c r="M108" s="4">
        <f>IF(14&lt;=Supuestos!$B$18,H108-Supuestos!$B$22*$C$26*(1+Supuestos!$B$9)^(14-1),0)</f>
        <v>1756536.0878693641</v>
      </c>
      <c r="N108" s="4">
        <f>IF(14&lt;=Supuestos!$B$19,I108-Supuestos!$B$23*$C$29*(1+Supuestos!$B$9)^(14-1),0)</f>
        <v>4503030.4773617983</v>
      </c>
      <c r="O108" s="4">
        <f t="shared" si="19"/>
        <v>11400637.787513366</v>
      </c>
      <c r="P108" s="4">
        <f t="shared" si="20"/>
        <v>28366725.940618388</v>
      </c>
    </row>
    <row r="109" spans="2:16" x14ac:dyDescent="0.3">
      <c r="B109" s="18">
        <f>Supuestos!$B$25+15-1</f>
        <v>2040</v>
      </c>
      <c r="C109" s="4">
        <f>$C$39*(1+Supuestos!$B$9)^(15-1)</f>
        <v>90581738.099339172</v>
      </c>
      <c r="D109" s="4">
        <f>IF(B109&lt;=Supuestos!$B$26,$C$38*(1+Supuestos!$B$9)^(15-1),0)</f>
        <v>0</v>
      </c>
      <c r="E109" s="4">
        <f t="shared" si="15"/>
        <v>90581738.099339172</v>
      </c>
      <c r="F109" s="4">
        <f>$C$43*(1+Supuestos!$B$9)^(15-1)*(1-Supuestos!$B$11)^(15-1)</f>
        <v>4308986.8130308855</v>
      </c>
      <c r="G109" s="4">
        <f>$C$44*(1+Supuestos!$B$9)^(15-1)*(1-Supuestos!$B$12)^(15-1)</f>
        <v>12769896.19508676</v>
      </c>
      <c r="H109" s="4">
        <f>IF(15&lt;=Supuestos!$B$18,$C$42*$C$31*(1+Supuestos!$B$10)^(15-1)*(1-Supuestos!$B$11)^(15-1),0)</f>
        <v>2305711.863366181</v>
      </c>
      <c r="I109" s="4">
        <f>IF(15&lt;=Supuestos!$B$19,G109*$C$32,0)</f>
        <v>6384948.0975433802</v>
      </c>
      <c r="J109" s="9">
        <f t="shared" si="16"/>
        <v>8388223.0472080847</v>
      </c>
      <c r="K109" s="4">
        <f t="shared" si="17"/>
        <v>90715129.490572289</v>
      </c>
      <c r="L109" s="7">
        <f t="shared" si="18"/>
        <v>9.2603909167749562E-2</v>
      </c>
      <c r="M109" s="4">
        <f>IF(15&lt;=Supuestos!$B$18,H109-Supuestos!$B$22*$C$26*(1+Supuestos!$B$9)^(15-1),0)</f>
        <v>1828272.2532216073</v>
      </c>
      <c r="N109" s="4">
        <f>IF(15&lt;=Supuestos!$B$19,I109-Supuestos!$B$23*$C$29*(1+Supuestos!$B$9)^(15-1),0)</f>
        <v>4692390.1781865014</v>
      </c>
      <c r="O109" s="4">
        <f t="shared" si="19"/>
        <v>13228910.040734973</v>
      </c>
      <c r="P109" s="4">
        <f t="shared" si="20"/>
        <v>33059116.118804891</v>
      </c>
    </row>
    <row r="110" spans="2:16" x14ac:dyDescent="0.3">
      <c r="B110" s="18">
        <f>Supuestos!$B$25+16-1</f>
        <v>2041</v>
      </c>
      <c r="C110" s="4">
        <f>$C$39*(1+Supuestos!$B$9)^(16-1)</f>
        <v>96016642.385299549</v>
      </c>
      <c r="D110" s="4">
        <f>IF(B110&lt;=Supuestos!$B$26,$C$38*(1+Supuestos!$B$9)^(16-1),0)</f>
        <v>0</v>
      </c>
      <c r="E110" s="4">
        <f t="shared" si="15"/>
        <v>96016642.385299549</v>
      </c>
      <c r="F110" s="4">
        <f>$C$43*(1+Supuestos!$B$9)^(16-1)*(1-Supuestos!$B$11)^(16-1)</f>
        <v>4544688.3917036764</v>
      </c>
      <c r="G110" s="4">
        <f>$C$44*(1+Supuestos!$B$9)^(16-1)*(1-Supuestos!$B$12)^(16-1)</f>
        <v>13366888.84220707</v>
      </c>
      <c r="H110" s="4">
        <f>IF(16&lt;=Supuestos!$B$18,$C$42*$C$31*(1+Supuestos!$B$10)^(16-1)*(1-Supuestos!$B$11)^(16-1),0)</f>
        <v>0</v>
      </c>
      <c r="I110" s="4">
        <f>IF(16&lt;=Supuestos!$B$19,G110*$C$32,0)</f>
        <v>0</v>
      </c>
      <c r="J110" s="9">
        <f t="shared" si="16"/>
        <v>17911577.233910747</v>
      </c>
      <c r="K110" s="4">
        <f t="shared" si="17"/>
        <v>108626706.72448304</v>
      </c>
      <c r="L110" s="7">
        <f t="shared" si="18"/>
        <v>0.18654659014251332</v>
      </c>
      <c r="M110" s="4">
        <f>IF(16&lt;=Supuestos!$B$18,H110-Supuestos!$B$22*$C$26*(1+Supuestos!$B$9)^(16-1),0)</f>
        <v>0</v>
      </c>
      <c r="N110" s="4">
        <f>IF(16&lt;=Supuestos!$B$19,I110-Supuestos!$B$23*$C$29*(1+Supuestos!$B$9)^(16-1),0)</f>
        <v>0</v>
      </c>
      <c r="O110" s="4">
        <f t="shared" si="19"/>
        <v>13228910.040734973</v>
      </c>
      <c r="P110" s="4">
        <f t="shared" si="20"/>
        <v>33059116.118804891</v>
      </c>
    </row>
    <row r="111" spans="2:16" x14ac:dyDescent="0.3">
      <c r="B111" s="18">
        <f>Supuestos!$B$25+17-1</f>
        <v>2042</v>
      </c>
      <c r="C111" s="4">
        <f>$C$39*(1+Supuestos!$B$9)^(17-1)</f>
        <v>101777640.92841749</v>
      </c>
      <c r="D111" s="4">
        <f>IF(B111&lt;=Supuestos!$B$26,$C$38*(1+Supuestos!$B$9)^(17-1),0)</f>
        <v>0</v>
      </c>
      <c r="E111" s="4">
        <f t="shared" si="15"/>
        <v>101777640.92841749</v>
      </c>
      <c r="F111" s="4">
        <f>$C$43*(1+Supuestos!$B$9)^(17-1)*(1-Supuestos!$B$11)^(17-1)</f>
        <v>4793282.8467298653</v>
      </c>
      <c r="G111" s="4">
        <f>$C$44*(1+Supuestos!$B$9)^(17-1)*(1-Supuestos!$B$12)^(17-1)</f>
        <v>13991790.895580247</v>
      </c>
      <c r="H111" s="4">
        <f>IF(17&lt;=Supuestos!$B$18,$C$42*$C$31*(1+Supuestos!$B$10)^(17-1)*(1-Supuestos!$B$11)^(17-1),0)</f>
        <v>0</v>
      </c>
      <c r="I111" s="4">
        <f>IF(17&lt;=Supuestos!$B$19,G111*$C$32,0)</f>
        <v>0</v>
      </c>
      <c r="J111" s="9">
        <f t="shared" si="16"/>
        <v>18785073.742310114</v>
      </c>
      <c r="K111" s="4">
        <f t="shared" si="17"/>
        <v>127411780.46679315</v>
      </c>
      <c r="L111" s="7">
        <f t="shared" si="18"/>
        <v>0.18456975000552509</v>
      </c>
      <c r="M111" s="4">
        <f>IF(17&lt;=Supuestos!$B$18,H111-Supuestos!$B$22*$C$26*(1+Supuestos!$B$9)^(17-1),0)</f>
        <v>0</v>
      </c>
      <c r="N111" s="4">
        <f>IF(17&lt;=Supuestos!$B$19,I111-Supuestos!$B$23*$C$29*(1+Supuestos!$B$9)^(17-1),0)</f>
        <v>0</v>
      </c>
      <c r="O111" s="4">
        <f t="shared" si="19"/>
        <v>13228910.040734973</v>
      </c>
      <c r="P111" s="4">
        <f t="shared" si="20"/>
        <v>33059116.118804891</v>
      </c>
    </row>
    <row r="112" spans="2:16" x14ac:dyDescent="0.3">
      <c r="B112" s="18">
        <f>Supuestos!$B$25+18-1</f>
        <v>2043</v>
      </c>
      <c r="C112" s="4">
        <f>$C$39*(1+Supuestos!$B$9)^(18-1)</f>
        <v>107884299.38412255</v>
      </c>
      <c r="D112" s="4">
        <f>IF(B112&lt;=Supuestos!$B$26,$C$38*(1+Supuestos!$B$9)^(18-1),0)</f>
        <v>0</v>
      </c>
      <c r="E112" s="4">
        <f t="shared" si="15"/>
        <v>107884299.38412255</v>
      </c>
      <c r="F112" s="4">
        <f>$C$43*(1+Supuestos!$B$9)^(18-1)*(1-Supuestos!$B$11)^(18-1)</f>
        <v>5055475.4184459895</v>
      </c>
      <c r="G112" s="4">
        <f>$C$44*(1+Supuestos!$B$9)^(18-1)*(1-Supuestos!$B$12)^(18-1)</f>
        <v>14645907.119948626</v>
      </c>
      <c r="H112" s="4">
        <f>IF(18&lt;=Supuestos!$B$18,$C$42*$C$31*(1+Supuestos!$B$10)^(18-1)*(1-Supuestos!$B$11)^(18-1),0)</f>
        <v>0</v>
      </c>
      <c r="I112" s="4">
        <f>IF(18&lt;=Supuestos!$B$19,G112*$C$32,0)</f>
        <v>0</v>
      </c>
      <c r="J112" s="9">
        <f t="shared" si="16"/>
        <v>19701382.538394615</v>
      </c>
      <c r="K112" s="4">
        <f t="shared" si="17"/>
        <v>147113163.00518775</v>
      </c>
      <c r="L112" s="7">
        <f t="shared" si="18"/>
        <v>0.18261584540905021</v>
      </c>
      <c r="M112" s="4">
        <f>IF(18&lt;=Supuestos!$B$18,H112-Supuestos!$B$22*$C$26*(1+Supuestos!$B$9)^(18-1),0)</f>
        <v>0</v>
      </c>
      <c r="N112" s="4">
        <f>IF(18&lt;=Supuestos!$B$19,I112-Supuestos!$B$23*$C$29*(1+Supuestos!$B$9)^(18-1),0)</f>
        <v>0</v>
      </c>
      <c r="O112" s="4">
        <f t="shared" si="19"/>
        <v>13228910.040734973</v>
      </c>
      <c r="P112" s="4">
        <f t="shared" si="20"/>
        <v>33059116.118804891</v>
      </c>
    </row>
    <row r="113" spans="1:16" x14ac:dyDescent="0.3">
      <c r="B113" s="18">
        <f>Supuestos!$B$25+19-1</f>
        <v>2044</v>
      </c>
      <c r="C113" s="4">
        <f>$C$39*(1+Supuestos!$B$9)^(19-1)</f>
        <v>114357357.34716991</v>
      </c>
      <c r="D113" s="4">
        <f>IF(B113&lt;=Supuestos!$B$26,$C$38*(1+Supuestos!$B$9)^(19-1),0)</f>
        <v>0</v>
      </c>
      <c r="E113" s="4">
        <f t="shared" si="15"/>
        <v>114357357.34716991</v>
      </c>
      <c r="F113" s="4">
        <f>$C$43*(1+Supuestos!$B$9)^(19-1)*(1-Supuestos!$B$11)^(19-1)</f>
        <v>5332009.9238349851</v>
      </c>
      <c r="G113" s="4">
        <f>$C$44*(1+Supuestos!$B$9)^(19-1)*(1-Supuestos!$B$12)^(19-1)</f>
        <v>15330603.277806224</v>
      </c>
      <c r="H113" s="4">
        <f>IF(19&lt;=Supuestos!$B$18,$C$42*$C$31*(1+Supuestos!$B$10)^(19-1)*(1-Supuestos!$B$11)^(19-1),0)</f>
        <v>0</v>
      </c>
      <c r="I113" s="4">
        <f>IF(19&lt;=Supuestos!$B$19,G113*$C$32,0)</f>
        <v>0</v>
      </c>
      <c r="J113" s="9">
        <f t="shared" si="16"/>
        <v>20662613.201641209</v>
      </c>
      <c r="K113" s="4">
        <f t="shared" si="17"/>
        <v>167775776.20682895</v>
      </c>
      <c r="L113" s="7">
        <f t="shared" si="18"/>
        <v>0.18068459853363833</v>
      </c>
      <c r="M113" s="4">
        <f>IF(19&lt;=Supuestos!$B$18,H113-Supuestos!$B$22*$C$26*(1+Supuestos!$B$9)^(19-1),0)</f>
        <v>0</v>
      </c>
      <c r="N113" s="4">
        <f>IF(19&lt;=Supuestos!$B$19,I113-Supuestos!$B$23*$C$29*(1+Supuestos!$B$9)^(19-1),0)</f>
        <v>0</v>
      </c>
      <c r="O113" s="4">
        <f t="shared" si="19"/>
        <v>13228910.040734973</v>
      </c>
      <c r="P113" s="4">
        <f t="shared" si="20"/>
        <v>33059116.118804891</v>
      </c>
    </row>
    <row r="114" spans="1:16" x14ac:dyDescent="0.3">
      <c r="B114" s="18">
        <f>Supuestos!$B$25+20-1</f>
        <v>2045</v>
      </c>
      <c r="C114" s="4">
        <f>$C$39*(1+Supuestos!$B$9)^(20-1)</f>
        <v>121218798.78800012</v>
      </c>
      <c r="D114" s="4">
        <f>IF(B114&lt;=Supuestos!$B$26,$C$38*(1+Supuestos!$B$9)^(20-1),0)</f>
        <v>0</v>
      </c>
      <c r="E114" s="4">
        <f t="shared" si="15"/>
        <v>121218798.78800012</v>
      </c>
      <c r="F114" s="4">
        <f>$C$43*(1+Supuestos!$B$9)^(20-1)*(1-Supuestos!$B$11)^(20-1)</f>
        <v>5623670.8666687598</v>
      </c>
      <c r="G114" s="4">
        <f>$C$44*(1+Supuestos!$B$9)^(20-1)*(1-Supuestos!$B$12)^(20-1)</f>
        <v>16047308.981043668</v>
      </c>
      <c r="H114" s="4">
        <f>IF(20&lt;=Supuestos!$B$18,$C$42*$C$31*(1+Supuestos!$B$10)^(20-1)*(1-Supuestos!$B$11)^(20-1),0)</f>
        <v>0</v>
      </c>
      <c r="I114" s="4">
        <f>IF(20&lt;=Supuestos!$B$19,G114*$C$32,0)</f>
        <v>0</v>
      </c>
      <c r="J114" s="9">
        <f t="shared" si="16"/>
        <v>21670979.847712427</v>
      </c>
      <c r="K114" s="4">
        <f t="shared" si="17"/>
        <v>189446756.05454138</v>
      </c>
      <c r="L114" s="7">
        <f t="shared" si="18"/>
        <v>0.17877573498820806</v>
      </c>
      <c r="M114" s="4">
        <f>IF(20&lt;=Supuestos!$B$18,H114-Supuestos!$B$22*$C$26*(1+Supuestos!$B$9)^(20-1),0)</f>
        <v>0</v>
      </c>
      <c r="N114" s="4">
        <f>IF(20&lt;=Supuestos!$B$19,I114-Supuestos!$B$23*$C$29*(1+Supuestos!$B$9)^(20-1),0)</f>
        <v>0</v>
      </c>
      <c r="O114" s="4">
        <f t="shared" si="19"/>
        <v>13228910.040734973</v>
      </c>
      <c r="P114" s="4">
        <f t="shared" si="20"/>
        <v>33059116.118804891</v>
      </c>
    </row>
    <row r="117" spans="1:16" x14ac:dyDescent="0.3">
      <c r="A117" s="1" t="s">
        <v>185</v>
      </c>
    </row>
    <row r="118" spans="1:16" x14ac:dyDescent="0.3">
      <c r="B118" s="2" t="s">
        <v>169</v>
      </c>
      <c r="C118" s="2" t="s">
        <v>170</v>
      </c>
      <c r="D118" s="2" t="s">
        <v>171</v>
      </c>
      <c r="E118" s="2" t="s">
        <v>172</v>
      </c>
      <c r="F118" s="2" t="s">
        <v>173</v>
      </c>
      <c r="G118" s="2" t="s">
        <v>174</v>
      </c>
      <c r="H118" s="2" t="s">
        <v>175</v>
      </c>
      <c r="I118" s="2" t="s">
        <v>176</v>
      </c>
      <c r="J118" s="2" t="s">
        <v>177</v>
      </c>
      <c r="K118" s="2" t="s">
        <v>178</v>
      </c>
      <c r="L118" s="2" t="s">
        <v>179</v>
      </c>
      <c r="M118" s="2" t="s">
        <v>180</v>
      </c>
      <c r="N118" s="2" t="s">
        <v>181</v>
      </c>
      <c r="O118" s="2" t="s">
        <v>182</v>
      </c>
      <c r="P118" s="2" t="s">
        <v>183</v>
      </c>
    </row>
    <row r="119" spans="1:16" x14ac:dyDescent="0.3">
      <c r="B119" t="s">
        <v>184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f>-$D$34</f>
        <v>-9576025.875</v>
      </c>
      <c r="N119" s="4">
        <f>-$D$36</f>
        <v>-20437326</v>
      </c>
      <c r="O119" s="4">
        <f>M119</f>
        <v>-9576025.875</v>
      </c>
      <c r="P119" s="4">
        <f>N119</f>
        <v>-20437326</v>
      </c>
    </row>
    <row r="120" spans="1:16" x14ac:dyDescent="0.3">
      <c r="B120" s="18">
        <f>Supuestos!$B$25+1-1</f>
        <v>2026</v>
      </c>
      <c r="C120" s="4">
        <f>$D$39*(1+Supuestos!$B$9)^(1-1)</f>
        <v>40064390.116524674</v>
      </c>
      <c r="D120" s="4">
        <f>IF(B120&lt;=Supuestos!$B$26,$D$38*(1+Supuestos!$B$9)^(1-1),0)</f>
        <v>7886060.9072246766</v>
      </c>
      <c r="E120" s="4">
        <f t="shared" ref="E120:E139" si="21">C120-D120</f>
        <v>32178329.209299996</v>
      </c>
      <c r="F120" s="4">
        <f>$D$43*(1+Supuestos!$B$9)^(1-1)*(1-Supuestos!$B$11)^(1-1)</f>
        <v>2519359.8322272613</v>
      </c>
      <c r="G120" s="4">
        <f>$D$44*(1+Supuestos!$B$9)^(1-1)*(1-Supuestos!$B$12)^(1-1)</f>
        <v>6735747.4143077945</v>
      </c>
      <c r="H120" s="4">
        <f>IF(1&lt;=Supuestos!$B$18,$D$42*$D$31*(1+Supuestos!$B$10)^(1-1)*(1-Supuestos!$B$11)^(1-1),0)</f>
        <v>1539401.5192886211</v>
      </c>
      <c r="I120" s="4">
        <f>IF(1&lt;=Supuestos!$B$19,G120*$D$32,0)</f>
        <v>3367873.7071538973</v>
      </c>
      <c r="J120" s="9">
        <f t="shared" ref="J120:J139" si="22">F120+G120-H120-I120</f>
        <v>4347832.0200925376</v>
      </c>
      <c r="K120" s="4">
        <f t="shared" ref="K120:K139" si="23">K119+J120</f>
        <v>4347832.0200925376</v>
      </c>
      <c r="L120" s="7">
        <f t="shared" ref="L120:L139" si="24">IF(E120&gt;0,J120/E120,0)</f>
        <v>0.13511677352209922</v>
      </c>
      <c r="M120" s="4">
        <f>IF(1&lt;=Supuestos!$B$18,H120-Supuestos!$B$22*$D$26*(1+Supuestos!$B$9)^(1-1),0)</f>
        <v>1279172.0192886211</v>
      </c>
      <c r="N120" s="4">
        <f>IF(1&lt;=Supuestos!$B$19,I120-Supuestos!$B$23*$D$29*(1+Supuestos!$B$9)^(1-1),0)</f>
        <v>2619253.7071538973</v>
      </c>
      <c r="O120" s="4">
        <f t="shared" ref="O120:O139" si="25">O119+M120</f>
        <v>-8296853.8557113791</v>
      </c>
      <c r="P120" s="4">
        <f t="shared" ref="P120:P139" si="26">P119+N120</f>
        <v>-17818072.292846102</v>
      </c>
    </row>
    <row r="121" spans="1:16" x14ac:dyDescent="0.3">
      <c r="B121" s="18">
        <f>Supuestos!$B$25+2-1</f>
        <v>2027</v>
      </c>
      <c r="C121" s="4">
        <f>$D$39*(1+Supuestos!$B$9)^(2-1)</f>
        <v>42468253.523516156</v>
      </c>
      <c r="D121" s="4">
        <f>IF(B121&lt;=Supuestos!$B$26,$D$38*(1+Supuestos!$B$9)^(2-1),0)</f>
        <v>8359224.561658158</v>
      </c>
      <c r="E121" s="4">
        <f t="shared" si="21"/>
        <v>34109028.961857997</v>
      </c>
      <c r="F121" s="4">
        <f>$D$43*(1+Supuestos!$B$9)^(2-1)*(1-Supuestos!$B$11)^(2-1)</f>
        <v>2657168.8150500925</v>
      </c>
      <c r="G121" s="4">
        <f>$D$44*(1+Supuestos!$B$9)^(2-1)*(1-Supuestos!$B$12)^(2-1)</f>
        <v>7050643.6059266841</v>
      </c>
      <c r="H121" s="4">
        <f>IF(2&lt;=Supuestos!$B$18,$D$42*$D$31*(1+Supuestos!$B$10)^(2-1)*(1-Supuestos!$B$11)^(2-1),0)</f>
        <v>1608289.7372767869</v>
      </c>
      <c r="I121" s="4">
        <f>IF(2&lt;=Supuestos!$B$19,G121*$D$32,0)</f>
        <v>3525321.8029633421</v>
      </c>
      <c r="J121" s="9">
        <f t="shared" si="22"/>
        <v>4574200.8807366472</v>
      </c>
      <c r="K121" s="4">
        <f t="shared" si="23"/>
        <v>8922032.9008291848</v>
      </c>
      <c r="L121" s="7">
        <f t="shared" si="24"/>
        <v>0.13410528003748484</v>
      </c>
      <c r="M121" s="4">
        <f>IF(2&lt;=Supuestos!$B$18,H121-Supuestos!$B$22*$D$26*(1+Supuestos!$B$9)^(2-1),0)</f>
        <v>1332446.4672767869</v>
      </c>
      <c r="N121" s="4">
        <f>IF(2&lt;=Supuestos!$B$19,I121-Supuestos!$B$23*$D$29*(1+Supuestos!$B$9)^(2-1),0)</f>
        <v>2731784.6029633419</v>
      </c>
      <c r="O121" s="4">
        <f t="shared" si="25"/>
        <v>-6964407.3884345926</v>
      </c>
      <c r="P121" s="4">
        <f t="shared" si="26"/>
        <v>-15086287.689882761</v>
      </c>
    </row>
    <row r="122" spans="1:16" x14ac:dyDescent="0.3">
      <c r="B122" s="18">
        <f>Supuestos!$B$25+3-1</f>
        <v>2028</v>
      </c>
      <c r="C122" s="4">
        <f>$D$39*(1+Supuestos!$B$9)^(3-1)</f>
        <v>45016348.734927133</v>
      </c>
      <c r="D122" s="4">
        <f>IF(B122&lt;=Supuestos!$B$26,$D$38*(1+Supuestos!$B$9)^(3-1),0)</f>
        <v>8860778.0353576485</v>
      </c>
      <c r="E122" s="4">
        <f t="shared" si="21"/>
        <v>36155570.699569486</v>
      </c>
      <c r="F122" s="4">
        <f>$D$43*(1+Supuestos!$B$9)^(3-1)*(1-Supuestos!$B$11)^(3-1)</f>
        <v>2802515.9492333331</v>
      </c>
      <c r="G122" s="4">
        <f>$D$44*(1+Supuestos!$B$9)^(3-1)*(1-Supuestos!$B$12)^(3-1)</f>
        <v>7380261.1945037581</v>
      </c>
      <c r="H122" s="4">
        <f>IF(3&lt;=Supuestos!$B$18,$D$42*$D$31*(1+Supuestos!$B$10)^(3-1)*(1-Supuestos!$B$11)^(3-1),0)</f>
        <v>1680260.7030199233</v>
      </c>
      <c r="I122" s="4">
        <f>IF(3&lt;=Supuestos!$B$19,G122*$D$32,0)</f>
        <v>3690130.5972518791</v>
      </c>
      <c r="J122" s="9">
        <f t="shared" si="22"/>
        <v>4812385.8434652891</v>
      </c>
      <c r="K122" s="4">
        <f t="shared" si="23"/>
        <v>13734418.744294474</v>
      </c>
      <c r="L122" s="7">
        <f t="shared" si="24"/>
        <v>0.13310219560502171</v>
      </c>
      <c r="M122" s="4">
        <f>IF(3&lt;=Supuestos!$B$18,H122-Supuestos!$B$22*$D$26*(1+Supuestos!$B$9)^(3-1),0)</f>
        <v>1387866.8368199233</v>
      </c>
      <c r="N122" s="4">
        <f>IF(3&lt;=Supuestos!$B$19,I122-Supuestos!$B$23*$D$29*(1+Supuestos!$B$9)^(3-1),0)</f>
        <v>2848981.165251879</v>
      </c>
      <c r="O122" s="4">
        <f t="shared" si="25"/>
        <v>-5576540.5516146692</v>
      </c>
      <c r="P122" s="4">
        <f t="shared" si="26"/>
        <v>-12237306.524630882</v>
      </c>
    </row>
    <row r="123" spans="1:16" x14ac:dyDescent="0.3">
      <c r="B123" s="18">
        <f>Supuestos!$B$25+4-1</f>
        <v>2029</v>
      </c>
      <c r="C123" s="4">
        <f>$D$39*(1+Supuestos!$B$9)^(4-1)</f>
        <v>47717329.659022763</v>
      </c>
      <c r="D123" s="4">
        <f>IF(B123&lt;=Supuestos!$B$26,$D$38*(1+Supuestos!$B$9)^(4-1),0)</f>
        <v>9392424.7174791079</v>
      </c>
      <c r="E123" s="4">
        <f t="shared" si="21"/>
        <v>38324904.941543654</v>
      </c>
      <c r="F123" s="4">
        <f>$D$43*(1+Supuestos!$B$9)^(4-1)*(1-Supuestos!$B$11)^(4-1)</f>
        <v>2955813.5716563966</v>
      </c>
      <c r="G123" s="4">
        <f>$D$44*(1+Supuestos!$B$9)^(4-1)*(1-Supuestos!$B$12)^(4-1)</f>
        <v>7725288.4053468099</v>
      </c>
      <c r="H123" s="4">
        <f>IF(4&lt;=Supuestos!$B$18,$D$42*$D$31*(1+Supuestos!$B$10)^(4-1)*(1-Supuestos!$B$11)^(4-1),0)</f>
        <v>1755452.3694800651</v>
      </c>
      <c r="I123" s="4">
        <f>IF(4&lt;=Supuestos!$B$19,G123*$D$32,0)</f>
        <v>3862644.2026734049</v>
      </c>
      <c r="J123" s="9">
        <f t="shared" si="22"/>
        <v>5063005.4048497342</v>
      </c>
      <c r="K123" s="4">
        <f t="shared" si="23"/>
        <v>18797424.14914421</v>
      </c>
      <c r="L123" s="7">
        <f t="shared" si="24"/>
        <v>0.13210744847436029</v>
      </c>
      <c r="M123" s="4">
        <f>IF(4&lt;=Supuestos!$B$18,H123-Supuestos!$B$22*$D$26*(1+Supuestos!$B$9)^(4-1),0)</f>
        <v>1445514.871308065</v>
      </c>
      <c r="N123" s="4">
        <f>IF(4&lt;=Supuestos!$B$19,I123-Supuestos!$B$23*$D$29*(1+Supuestos!$B$9)^(4-1),0)</f>
        <v>2971025.8047534046</v>
      </c>
      <c r="O123" s="4">
        <f t="shared" si="25"/>
        <v>-4131025.6803066041</v>
      </c>
      <c r="P123" s="4">
        <f t="shared" si="26"/>
        <v>-9266280.7198774777</v>
      </c>
    </row>
    <row r="124" spans="1:16" x14ac:dyDescent="0.3">
      <c r="B124" s="18">
        <f>Supuestos!$B$25+5-1</f>
        <v>2030</v>
      </c>
      <c r="C124" s="4">
        <f>$D$39*(1+Supuestos!$B$9)^(5-1)</f>
        <v>50580369.438564129</v>
      </c>
      <c r="D124" s="4">
        <f>IF(B124&lt;=Supuestos!$B$26,$D$38*(1+Supuestos!$B$9)^(5-1),0)</f>
        <v>9955970.2005278543</v>
      </c>
      <c r="E124" s="4">
        <f t="shared" si="21"/>
        <v>40624399.238036275</v>
      </c>
      <c r="F124" s="4">
        <f>$D$43*(1+Supuestos!$B$9)^(5-1)*(1-Supuestos!$B$11)^(5-1)</f>
        <v>3117496.5740260016</v>
      </c>
      <c r="G124" s="4">
        <f>$D$44*(1+Supuestos!$B$9)^(5-1)*(1-Supuestos!$B$12)^(5-1)</f>
        <v>8086445.6382967727</v>
      </c>
      <c r="H124" s="4">
        <f>IF(5&lt;=Supuestos!$B$18,$D$42*$D$31*(1+Supuestos!$B$10)^(5-1)*(1-Supuestos!$B$11)^(5-1),0)</f>
        <v>1834008.8630142978</v>
      </c>
      <c r="I124" s="4">
        <f>IF(5&lt;=Supuestos!$B$19,G124*$D$32,0)</f>
        <v>4043222.8191483864</v>
      </c>
      <c r="J124" s="9">
        <f t="shared" si="22"/>
        <v>5326710.5301600918</v>
      </c>
      <c r="K124" s="4">
        <f t="shared" si="23"/>
        <v>24124134.679304302</v>
      </c>
      <c r="L124" s="7">
        <f t="shared" si="24"/>
        <v>0.13112096744984572</v>
      </c>
      <c r="M124" s="4">
        <f>IF(5&lt;=Supuestos!$B$18,H124-Supuestos!$B$22*$D$26*(1+Supuestos!$B$9)^(5-1),0)</f>
        <v>1505475.1149519777</v>
      </c>
      <c r="N124" s="4">
        <f>IF(5&lt;=Supuestos!$B$19,I124-Supuestos!$B$23*$D$29*(1+Supuestos!$B$9)^(5-1),0)</f>
        <v>3098107.3173531862</v>
      </c>
      <c r="O124" s="4">
        <f t="shared" si="25"/>
        <v>-2625550.5653546266</v>
      </c>
      <c r="P124" s="4">
        <f t="shared" si="26"/>
        <v>-6168173.4025242915</v>
      </c>
    </row>
    <row r="125" spans="1:16" x14ac:dyDescent="0.3">
      <c r="B125" s="18">
        <f>Supuestos!$B$25+6-1</f>
        <v>2031</v>
      </c>
      <c r="C125" s="4">
        <f>$D$39*(1+Supuestos!$B$9)^(6-1)</f>
        <v>53615191.604877986</v>
      </c>
      <c r="D125" s="4">
        <f>IF(B125&lt;=Supuestos!$B$26,$D$38*(1+Supuestos!$B$9)^(6-1),0)</f>
        <v>10553328.412559526</v>
      </c>
      <c r="E125" s="4">
        <f t="shared" si="21"/>
        <v>43061863.192318462</v>
      </c>
      <c r="F125" s="4">
        <f>$D$43*(1+Supuestos!$B$9)^(6-1)*(1-Supuestos!$B$11)^(6-1)</f>
        <v>3288023.6366252243</v>
      </c>
      <c r="G125" s="4">
        <f>$D$44*(1+Supuestos!$B$9)^(6-1)*(1-Supuestos!$B$12)^(6-1)</f>
        <v>8464486.9718871489</v>
      </c>
      <c r="H125" s="4">
        <f>IF(6&lt;=Supuestos!$B$18,$D$42*$D$31*(1+Supuestos!$B$10)^(6-1)*(1-Supuestos!$B$11)^(6-1),0)</f>
        <v>1916080.7596341879</v>
      </c>
      <c r="I125" s="4">
        <f>IF(6&lt;=Supuestos!$B$19,G125*$D$32,0)</f>
        <v>4232243.4859435745</v>
      </c>
      <c r="J125" s="9">
        <f t="shared" si="22"/>
        <v>5604186.3629346117</v>
      </c>
      <c r="K125" s="4">
        <f t="shared" si="23"/>
        <v>29728321.042238913</v>
      </c>
      <c r="L125" s="7">
        <f t="shared" si="24"/>
        <v>0.13014268188781733</v>
      </c>
      <c r="M125" s="4">
        <f>IF(6&lt;=Supuestos!$B$18,H125-Supuestos!$B$22*$D$26*(1+Supuestos!$B$9)^(6-1),0)</f>
        <v>1567834.9866881287</v>
      </c>
      <c r="N125" s="4">
        <f>IF(6&lt;=Supuestos!$B$19,I125-Supuestos!$B$23*$D$29*(1+Supuestos!$B$9)^(6-1),0)</f>
        <v>3230421.054040662</v>
      </c>
      <c r="O125" s="4">
        <f t="shared" si="25"/>
        <v>-1057715.578666498</v>
      </c>
      <c r="P125" s="4">
        <f t="shared" si="26"/>
        <v>-2937752.3484836295</v>
      </c>
    </row>
    <row r="126" spans="1:16" x14ac:dyDescent="0.3">
      <c r="B126" s="18">
        <f>Supuestos!$B$25+7-1</f>
        <v>2032</v>
      </c>
      <c r="C126" s="4">
        <f>$D$39*(1+Supuestos!$B$9)^(7-1)</f>
        <v>56832103.101170667</v>
      </c>
      <c r="D126" s="4">
        <f>IF(B126&lt;=Supuestos!$B$26,$D$38*(1+Supuestos!$B$9)^(7-1),0)</f>
        <v>11186528.117313098</v>
      </c>
      <c r="E126" s="4">
        <f t="shared" si="21"/>
        <v>45645574.983857572</v>
      </c>
      <c r="F126" s="4">
        <f>$D$43*(1+Supuestos!$B$9)^(7-1)*(1-Supuestos!$B$11)^(7-1)</f>
        <v>3467878.5295486241</v>
      </c>
      <c r="G126" s="4">
        <f>$D$44*(1+Supuestos!$B$9)^(7-1)*(1-Supuestos!$B$12)^(7-1)</f>
        <v>8860201.7378228754</v>
      </c>
      <c r="H126" s="4">
        <f>IF(7&lt;=Supuestos!$B$18,$D$42*$D$31*(1+Supuestos!$B$10)^(7-1)*(1-Supuestos!$B$11)^(7-1),0)</f>
        <v>2001825.3736278175</v>
      </c>
      <c r="I126" s="4">
        <f>IF(7&lt;=Supuestos!$B$19,G126*$D$32,0)</f>
        <v>4430100.8689114377</v>
      </c>
      <c r="J126" s="9">
        <f t="shared" si="22"/>
        <v>5896154.024832245</v>
      </c>
      <c r="K126" s="4">
        <f t="shared" si="23"/>
        <v>35624475.067071155</v>
      </c>
      <c r="L126" s="7">
        <f t="shared" si="24"/>
        <v>0.12917252169388604</v>
      </c>
      <c r="M126" s="4">
        <f>IF(7&lt;=Supuestos!$B$18,H126-Supuestos!$B$22*$D$26*(1+Supuestos!$B$9)^(7-1),0)</f>
        <v>1632684.8543049945</v>
      </c>
      <c r="N126" s="4">
        <f>IF(7&lt;=Supuestos!$B$19,I126-Supuestos!$B$23*$D$29*(1+Supuestos!$B$9)^(7-1),0)</f>
        <v>3368169.0910943504</v>
      </c>
      <c r="O126" s="4">
        <f t="shared" si="25"/>
        <v>574969.2756384965</v>
      </c>
      <c r="P126" s="4">
        <f t="shared" si="26"/>
        <v>430416.74261072092</v>
      </c>
    </row>
    <row r="127" spans="1:16" x14ac:dyDescent="0.3">
      <c r="B127" s="18">
        <f>Supuestos!$B$25+8-1</f>
        <v>2033</v>
      </c>
      <c r="C127" s="4">
        <f>$D$39*(1+Supuestos!$B$9)^(8-1)</f>
        <v>60242029.287240915</v>
      </c>
      <c r="D127" s="4">
        <f>IF(B127&lt;=Supuestos!$B$26,$D$38*(1+Supuestos!$B$9)^(8-1),0)</f>
        <v>0</v>
      </c>
      <c r="E127" s="4">
        <f t="shared" si="21"/>
        <v>60242029.287240915</v>
      </c>
      <c r="F127" s="4">
        <f>$D$43*(1+Supuestos!$B$9)^(8-1)*(1-Supuestos!$B$11)^(8-1)</f>
        <v>3657571.4851149344</v>
      </c>
      <c r="G127" s="4">
        <f>$D$44*(1+Supuestos!$B$9)^(8-1)*(1-Supuestos!$B$12)^(8-1)</f>
        <v>9274416.1690660957</v>
      </c>
      <c r="H127" s="4">
        <f>IF(8&lt;=Supuestos!$B$18,$D$42*$D$31*(1+Supuestos!$B$10)^(8-1)*(1-Supuestos!$B$11)^(8-1),0)</f>
        <v>2091407.0590976623</v>
      </c>
      <c r="I127" s="4">
        <f>IF(8&lt;=Supuestos!$B$19,G127*$D$32,0)</f>
        <v>4637208.0845330479</v>
      </c>
      <c r="J127" s="9">
        <f t="shared" si="22"/>
        <v>6203372.5105503192</v>
      </c>
      <c r="K127" s="4">
        <f t="shared" si="23"/>
        <v>41827847.577621475</v>
      </c>
      <c r="L127" s="7">
        <f t="shared" si="24"/>
        <v>0.10297416245677792</v>
      </c>
      <c r="M127" s="4">
        <f>IF(8&lt;=Supuestos!$B$18,H127-Supuestos!$B$22*$D$26*(1+Supuestos!$B$9)^(8-1),0)</f>
        <v>1700118.1086154701</v>
      </c>
      <c r="N127" s="4">
        <f>IF(8&lt;=Supuestos!$B$19,I127-Supuestos!$B$23*$D$29*(1+Supuestos!$B$9)^(8-1),0)</f>
        <v>3511560.4000469353</v>
      </c>
      <c r="O127" s="4">
        <f t="shared" si="25"/>
        <v>2275087.3842539666</v>
      </c>
      <c r="P127" s="4">
        <f t="shared" si="26"/>
        <v>3941977.1426576562</v>
      </c>
    </row>
    <row r="128" spans="1:16" x14ac:dyDescent="0.3">
      <c r="B128" s="18">
        <f>Supuestos!$B$25+9-1</f>
        <v>2034</v>
      </c>
      <c r="C128" s="4">
        <f>$D$39*(1+Supuestos!$B$9)^(9-1)</f>
        <v>63856551.044475362</v>
      </c>
      <c r="D128" s="4">
        <f>IF(B128&lt;=Supuestos!$B$26,$D$38*(1+Supuestos!$B$9)^(9-1),0)</f>
        <v>0</v>
      </c>
      <c r="E128" s="4">
        <f t="shared" si="21"/>
        <v>63856551.044475362</v>
      </c>
      <c r="F128" s="4">
        <f>$D$43*(1+Supuestos!$B$9)^(9-1)*(1-Supuestos!$B$11)^(9-1)</f>
        <v>3857640.6453507212</v>
      </c>
      <c r="G128" s="4">
        <f>$D$44*(1+Supuestos!$B$9)^(9-1)*(1-Supuestos!$B$12)^(9-1)</f>
        <v>9707995.1249699332</v>
      </c>
      <c r="H128" s="4">
        <f>IF(9&lt;=Supuestos!$B$18,$D$42*$D$31*(1+Supuestos!$B$10)^(9-1)*(1-Supuestos!$B$11)^(9-1),0)</f>
        <v>2184997.5249922825</v>
      </c>
      <c r="I128" s="4">
        <f>IF(9&lt;=Supuestos!$B$19,G128*$D$32,0)</f>
        <v>4853997.5624849666</v>
      </c>
      <c r="J128" s="9">
        <f t="shared" si="22"/>
        <v>6526640.6828434039</v>
      </c>
      <c r="K128" s="4">
        <f t="shared" si="23"/>
        <v>48354488.260464877</v>
      </c>
      <c r="L128" s="7">
        <f t="shared" si="24"/>
        <v>0.10220784831140775</v>
      </c>
      <c r="M128" s="4">
        <f>IF(9&lt;=Supuestos!$B$18,H128-Supuestos!$B$22*$D$26*(1+Supuestos!$B$9)^(9-1),0)</f>
        <v>1770231.2374811587</v>
      </c>
      <c r="N128" s="4">
        <f>IF(9&lt;=Supuestos!$B$19,I128-Supuestos!$B$23*$D$29*(1+Supuestos!$B$9)^(9-1),0)</f>
        <v>3660811.0169296875</v>
      </c>
      <c r="O128" s="4">
        <f t="shared" si="25"/>
        <v>4045318.6217351253</v>
      </c>
      <c r="P128" s="4">
        <f t="shared" si="26"/>
        <v>7602788.1595873442</v>
      </c>
    </row>
    <row r="129" spans="1:16" x14ac:dyDescent="0.3">
      <c r="B129" s="18">
        <f>Supuestos!$B$25+10-1</f>
        <v>2035</v>
      </c>
      <c r="C129" s="4">
        <f>$D$39*(1+Supuestos!$B$9)^(10-1)</f>
        <v>67687944.107143879</v>
      </c>
      <c r="D129" s="4">
        <f>IF(B129&lt;=Supuestos!$B$26,$D$38*(1+Supuestos!$B$9)^(10-1),0)</f>
        <v>0</v>
      </c>
      <c r="E129" s="4">
        <f t="shared" si="21"/>
        <v>67687944.107143879</v>
      </c>
      <c r="F129" s="4">
        <f>$D$43*(1+Supuestos!$B$9)^(10-1)*(1-Supuestos!$B$11)^(10-1)</f>
        <v>4068653.5886514052</v>
      </c>
      <c r="G129" s="4">
        <f>$D$44*(1+Supuestos!$B$9)^(10-1)*(1-Supuestos!$B$12)^(10-1)</f>
        <v>10161843.897062279</v>
      </c>
      <c r="H129" s="4">
        <f>IF(10&lt;=Supuestos!$B$18,$D$42*$D$31*(1+Supuestos!$B$10)^(10-1)*(1-Supuestos!$B$11)^(10-1),0)</f>
        <v>2282776.1642356873</v>
      </c>
      <c r="I129" s="4">
        <f>IF(10&lt;=Supuestos!$B$19,G129*$D$32,0)</f>
        <v>5080921.9485311396</v>
      </c>
      <c r="J129" s="9">
        <f t="shared" si="22"/>
        <v>6866799.3729468584</v>
      </c>
      <c r="K129" s="4">
        <f t="shared" si="23"/>
        <v>55221287.633411735</v>
      </c>
      <c r="L129" s="7">
        <f t="shared" si="24"/>
        <v>0.10144789391264916</v>
      </c>
      <c r="M129" s="4">
        <f>IF(10&lt;=Supuestos!$B$18,H129-Supuestos!$B$22*$D$26*(1+Supuestos!$B$9)^(10-1),0)</f>
        <v>1843123.899473896</v>
      </c>
      <c r="N129" s="4">
        <f>IF(10&lt;=Supuestos!$B$19,I129-Supuestos!$B$23*$D$29*(1+Supuestos!$B$9)^(10-1),0)</f>
        <v>3816144.2102425438</v>
      </c>
      <c r="O129" s="4">
        <f t="shared" si="25"/>
        <v>5888442.5212090211</v>
      </c>
      <c r="P129" s="4">
        <f t="shared" si="26"/>
        <v>11418932.369829888</v>
      </c>
    </row>
    <row r="130" spans="1:16" x14ac:dyDescent="0.3">
      <c r="B130" s="18">
        <f>Supuestos!$B$25+11-1</f>
        <v>2036</v>
      </c>
      <c r="C130" s="4">
        <f>$D$39*(1+Supuestos!$B$9)^(11-1)</f>
        <v>71749220.753572524</v>
      </c>
      <c r="D130" s="4">
        <f>IF(B130&lt;=Supuestos!$B$26,$D$38*(1+Supuestos!$B$9)^(11-1),0)</f>
        <v>0</v>
      </c>
      <c r="E130" s="4">
        <f t="shared" si="21"/>
        <v>71749220.753572524</v>
      </c>
      <c r="F130" s="4">
        <f>$D$43*(1+Supuestos!$B$9)^(11-1)*(1-Supuestos!$B$11)^(11-1)</f>
        <v>4291208.9399506375</v>
      </c>
      <c r="G130" s="4">
        <f>$D$44*(1+Supuestos!$B$9)^(11-1)*(1-Supuestos!$B$12)^(11-1)</f>
        <v>10636910.09924994</v>
      </c>
      <c r="H130" s="4">
        <f>IF(11&lt;=Supuestos!$B$18,$D$42*$D$31*(1+Supuestos!$B$10)^(11-1)*(1-Supuestos!$B$11)^(11-1),0)</f>
        <v>2384930.3975852346</v>
      </c>
      <c r="I130" s="4">
        <f>IF(11&lt;=Supuestos!$B$19,G130*$D$32,0)</f>
        <v>5318455.0496249702</v>
      </c>
      <c r="J130" s="9">
        <f t="shared" si="22"/>
        <v>7224733.5919903722</v>
      </c>
      <c r="K130" s="4">
        <f t="shared" si="23"/>
        <v>62446021.225402109</v>
      </c>
      <c r="L130" s="7">
        <f t="shared" si="24"/>
        <v>0.10069424470551674</v>
      </c>
      <c r="M130" s="4">
        <f>IF(11&lt;=Supuestos!$B$18,H130-Supuestos!$B$22*$D$26*(1+Supuestos!$B$9)^(11-1),0)</f>
        <v>1918898.9969377359</v>
      </c>
      <c r="N130" s="4">
        <f>IF(11&lt;=Supuestos!$B$19,I130-Supuestos!$B$23*$D$29*(1+Supuestos!$B$9)^(11-1),0)</f>
        <v>3977790.6470390586</v>
      </c>
      <c r="O130" s="4">
        <f t="shared" si="25"/>
        <v>7807341.518146757</v>
      </c>
      <c r="P130" s="4">
        <f t="shared" si="26"/>
        <v>15396723.016868945</v>
      </c>
    </row>
    <row r="131" spans="1:16" x14ac:dyDescent="0.3">
      <c r="B131" s="18">
        <f>Supuestos!$B$25+12-1</f>
        <v>2037</v>
      </c>
      <c r="C131" s="4">
        <f>$D$39*(1+Supuestos!$B$9)^(12-1)</f>
        <v>76054173.998786882</v>
      </c>
      <c r="D131" s="4">
        <f>IF(B131&lt;=Supuestos!$B$26,$D$38*(1+Supuestos!$B$9)^(12-1),0)</f>
        <v>0</v>
      </c>
      <c r="E131" s="4">
        <f t="shared" si="21"/>
        <v>76054173.998786882</v>
      </c>
      <c r="F131" s="4">
        <f>$D$43*(1+Supuestos!$B$9)^(12-1)*(1-Supuestos!$B$11)^(12-1)</f>
        <v>4525938.0689659379</v>
      </c>
      <c r="G131" s="4">
        <f>$D$44*(1+Supuestos!$B$9)^(12-1)*(1-Supuestos!$B$12)^(12-1)</f>
        <v>11134185.646389877</v>
      </c>
      <c r="H131" s="4">
        <f>IF(12&lt;=Supuestos!$B$18,$D$42*$D$31*(1+Supuestos!$B$10)^(12-1)*(1-Supuestos!$B$11)^(12-1),0)</f>
        <v>2491656.0328771737</v>
      </c>
      <c r="I131" s="4">
        <f>IF(12&lt;=Supuestos!$B$19,G131*$D$32,0)</f>
        <v>5567092.8231949387</v>
      </c>
      <c r="J131" s="9">
        <f t="shared" si="22"/>
        <v>7601374.8592837034</v>
      </c>
      <c r="K131" s="4">
        <f t="shared" si="23"/>
        <v>70047396.084685817</v>
      </c>
      <c r="L131" s="7">
        <f t="shared" si="24"/>
        <v>9.9946846564988673E-2</v>
      </c>
      <c r="M131" s="4">
        <f>IF(12&lt;=Supuestos!$B$18,H131-Supuestos!$B$22*$D$26*(1+Supuestos!$B$9)^(12-1),0)</f>
        <v>1997662.7481908249</v>
      </c>
      <c r="N131" s="4">
        <f>IF(12&lt;=Supuestos!$B$19,I131-Supuestos!$B$23*$D$29*(1+Supuestos!$B$9)^(12-1),0)</f>
        <v>4145988.556453872</v>
      </c>
      <c r="O131" s="4">
        <f t="shared" si="25"/>
        <v>9805004.266337581</v>
      </c>
      <c r="P131" s="4">
        <f t="shared" si="26"/>
        <v>19542711.573322818</v>
      </c>
    </row>
    <row r="132" spans="1:16" x14ac:dyDescent="0.3">
      <c r="B132" s="18">
        <f>Supuestos!$B$25+13-1</f>
        <v>2038</v>
      </c>
      <c r="C132" s="4">
        <f>$D$39*(1+Supuestos!$B$9)^(13-1)</f>
        <v>80617424.438714102</v>
      </c>
      <c r="D132" s="4">
        <f>IF(B132&lt;=Supuestos!$B$26,$D$38*(1+Supuestos!$B$9)^(13-1),0)</f>
        <v>0</v>
      </c>
      <c r="E132" s="4">
        <f t="shared" si="21"/>
        <v>80617424.438714102</v>
      </c>
      <c r="F132" s="4">
        <f>$D$43*(1+Supuestos!$B$9)^(13-1)*(1-Supuestos!$B$11)^(13-1)</f>
        <v>4773506.8813383756</v>
      </c>
      <c r="G132" s="4">
        <f>$D$44*(1+Supuestos!$B$9)^(13-1)*(1-Supuestos!$B$12)^(13-1)</f>
        <v>11654708.825358605</v>
      </c>
      <c r="H132" s="4">
        <f>IF(13&lt;=Supuestos!$B$18,$D$42*$D$31*(1+Supuestos!$B$10)^(13-1)*(1-Supuestos!$B$11)^(13-1),0)</f>
        <v>2603157.6403484275</v>
      </c>
      <c r="I132" s="4">
        <f>IF(13&lt;=Supuestos!$B$19,G132*$D$32,0)</f>
        <v>5827354.4126793025</v>
      </c>
      <c r="J132" s="9">
        <f t="shared" si="22"/>
        <v>7997703.6536692502</v>
      </c>
      <c r="K132" s="4">
        <f t="shared" si="23"/>
        <v>78045099.73835507</v>
      </c>
      <c r="L132" s="7">
        <f t="shared" si="24"/>
        <v>9.9205645793722388E-2</v>
      </c>
      <c r="M132" s="4">
        <f>IF(13&lt;=Supuestos!$B$18,H132-Supuestos!$B$22*$D$26*(1+Supuestos!$B$9)^(13-1),0)</f>
        <v>2079524.7585808977</v>
      </c>
      <c r="N132" s="4">
        <f>IF(13&lt;=Supuestos!$B$19,I132-Supuestos!$B$23*$D$29*(1+Supuestos!$B$9)^(13-1),0)</f>
        <v>4320983.8899337715</v>
      </c>
      <c r="O132" s="4">
        <f t="shared" si="25"/>
        <v>11884529.024918478</v>
      </c>
      <c r="P132" s="4">
        <f t="shared" si="26"/>
        <v>23863695.46325659</v>
      </c>
    </row>
    <row r="133" spans="1:16" x14ac:dyDescent="0.3">
      <c r="B133" s="18">
        <f>Supuestos!$B$25+14-1</f>
        <v>2039</v>
      </c>
      <c r="C133" s="4">
        <f>$D$39*(1+Supuestos!$B$9)^(14-1)</f>
        <v>85454469.905036956</v>
      </c>
      <c r="D133" s="4">
        <f>IF(B133&lt;=Supuestos!$B$26,$D$38*(1+Supuestos!$B$9)^(14-1),0)</f>
        <v>0</v>
      </c>
      <c r="E133" s="4">
        <f t="shared" si="21"/>
        <v>85454469.905036956</v>
      </c>
      <c r="F133" s="4">
        <f>$D$43*(1+Supuestos!$B$9)^(14-1)*(1-Supuestos!$B$11)^(14-1)</f>
        <v>5034617.7077475851</v>
      </c>
      <c r="G133" s="4">
        <f>$D$44*(1+Supuestos!$B$9)^(14-1)*(1-Supuestos!$B$12)^(14-1)</f>
        <v>12199566.462944122</v>
      </c>
      <c r="H133" s="4">
        <f>IF(14&lt;=Supuestos!$B$18,$D$42*$D$31*(1+Supuestos!$B$10)^(14-1)*(1-Supuestos!$B$11)^(14-1),0)</f>
        <v>2719648.9447540203</v>
      </c>
      <c r="I133" s="4">
        <f>IF(14&lt;=Supuestos!$B$19,G133*$D$32,0)</f>
        <v>6099783.231472061</v>
      </c>
      <c r="J133" s="9">
        <f t="shared" si="22"/>
        <v>8414751.9944656268</v>
      </c>
      <c r="K133" s="4">
        <f t="shared" si="23"/>
        <v>86459851.73282069</v>
      </c>
      <c r="L133" s="7">
        <f t="shared" si="24"/>
        <v>9.847058911975809E-2</v>
      </c>
      <c r="M133" s="4">
        <f>IF(14&lt;=Supuestos!$B$18,H133-Supuestos!$B$22*$D$26*(1+Supuestos!$B$9)^(14-1),0)</f>
        <v>2164598.0900804386</v>
      </c>
      <c r="N133" s="4">
        <f>IF(14&lt;=Supuestos!$B$19,I133-Supuestos!$B$23*$D$29*(1+Supuestos!$B$9)^(14-1),0)</f>
        <v>4503030.4773617983</v>
      </c>
      <c r="O133" s="4">
        <f t="shared" si="25"/>
        <v>14049127.114998916</v>
      </c>
      <c r="P133" s="4">
        <f t="shared" si="26"/>
        <v>28366725.940618388</v>
      </c>
    </row>
    <row r="134" spans="1:16" x14ac:dyDescent="0.3">
      <c r="B134" s="18">
        <f>Supuestos!$B$25+15-1</f>
        <v>2040</v>
      </c>
      <c r="C134" s="4">
        <f>$D$39*(1+Supuestos!$B$9)^(15-1)</f>
        <v>90581738.099339172</v>
      </c>
      <c r="D134" s="4">
        <f>IF(B134&lt;=Supuestos!$B$26,$D$38*(1+Supuestos!$B$9)^(15-1),0)</f>
        <v>0</v>
      </c>
      <c r="E134" s="4">
        <f t="shared" si="21"/>
        <v>90581738.099339172</v>
      </c>
      <c r="F134" s="4">
        <f>$D$43*(1+Supuestos!$B$9)^(15-1)*(1-Supuestos!$B$11)^(15-1)</f>
        <v>5310011.2963613784</v>
      </c>
      <c r="G134" s="4">
        <f>$D$44*(1+Supuestos!$B$9)^(15-1)*(1-Supuestos!$B$12)^(15-1)</f>
        <v>12769896.19508676</v>
      </c>
      <c r="H134" s="4">
        <f>IF(15&lt;=Supuestos!$B$18,$D$42*$D$31*(1+Supuestos!$B$10)^(15-1)*(1-Supuestos!$B$11)^(15-1),0)</f>
        <v>2841353.2350317617</v>
      </c>
      <c r="I134" s="4">
        <f>IF(15&lt;=Supuestos!$B$19,G134*$D$32,0)</f>
        <v>6384948.0975433802</v>
      </c>
      <c r="J134" s="9">
        <f t="shared" si="22"/>
        <v>8853606.1588729955</v>
      </c>
      <c r="K134" s="4">
        <f t="shared" si="23"/>
        <v>95313457.891693681</v>
      </c>
      <c r="L134" s="7">
        <f t="shared" si="24"/>
        <v>9.7741623694208912E-2</v>
      </c>
      <c r="M134" s="4">
        <f>IF(15&lt;=Supuestos!$B$18,H134-Supuestos!$B$22*$D$26*(1+Supuestos!$B$9)^(15-1),0)</f>
        <v>2252999.3290777653</v>
      </c>
      <c r="N134" s="4">
        <f>IF(15&lt;=Supuestos!$B$19,I134-Supuestos!$B$23*$D$29*(1+Supuestos!$B$9)^(15-1),0)</f>
        <v>4692390.1781865014</v>
      </c>
      <c r="O134" s="4">
        <f t="shared" si="25"/>
        <v>16302126.444076682</v>
      </c>
      <c r="P134" s="4">
        <f t="shared" si="26"/>
        <v>33059116.118804891</v>
      </c>
    </row>
    <row r="135" spans="1:16" x14ac:dyDescent="0.3">
      <c r="B135" s="18">
        <f>Supuestos!$B$25+16-1</f>
        <v>2041</v>
      </c>
      <c r="C135" s="4">
        <f>$D$39*(1+Supuestos!$B$9)^(16-1)</f>
        <v>96016642.385299549</v>
      </c>
      <c r="D135" s="4">
        <f>IF(B135&lt;=Supuestos!$B$26,$D$38*(1+Supuestos!$B$9)^(16-1),0)</f>
        <v>0</v>
      </c>
      <c r="E135" s="4">
        <f t="shared" si="21"/>
        <v>96016642.385299549</v>
      </c>
      <c r="F135" s="4">
        <f>$D$43*(1+Supuestos!$B$9)^(16-1)*(1-Supuestos!$B$11)^(16-1)</f>
        <v>5600468.9142723475</v>
      </c>
      <c r="G135" s="4">
        <f>$D$44*(1+Supuestos!$B$9)^(16-1)*(1-Supuestos!$B$12)^(16-1)</f>
        <v>13366888.84220707</v>
      </c>
      <c r="H135" s="4">
        <f>IF(16&lt;=Supuestos!$B$18,$D$42*$D$31*(1+Supuestos!$B$10)^(16-1)*(1-Supuestos!$B$11)^(16-1),0)</f>
        <v>0</v>
      </c>
      <c r="I135" s="4">
        <f>IF(16&lt;=Supuestos!$B$19,G135*$D$32,0)</f>
        <v>0</v>
      </c>
      <c r="J135" s="9">
        <f t="shared" si="22"/>
        <v>18967357.75647942</v>
      </c>
      <c r="K135" s="4">
        <f t="shared" si="23"/>
        <v>114280815.64817309</v>
      </c>
      <c r="L135" s="7">
        <f t="shared" si="24"/>
        <v>0.19754239770608123</v>
      </c>
      <c r="M135" s="4">
        <f>IF(16&lt;=Supuestos!$B$18,H135-Supuestos!$B$22*$D$26*(1+Supuestos!$B$9)^(16-1),0)</f>
        <v>0</v>
      </c>
      <c r="N135" s="4">
        <f>IF(16&lt;=Supuestos!$B$19,I135-Supuestos!$B$23*$D$29*(1+Supuestos!$B$9)^(16-1),0)</f>
        <v>0</v>
      </c>
      <c r="O135" s="4">
        <f t="shared" si="25"/>
        <v>16302126.444076682</v>
      </c>
      <c r="P135" s="4">
        <f t="shared" si="26"/>
        <v>33059116.118804891</v>
      </c>
    </row>
    <row r="136" spans="1:16" x14ac:dyDescent="0.3">
      <c r="B136" s="18">
        <f>Supuestos!$B$25+17-1</f>
        <v>2042</v>
      </c>
      <c r="C136" s="4">
        <f>$D$39*(1+Supuestos!$B$9)^(17-1)</f>
        <v>101777640.92841749</v>
      </c>
      <c r="D136" s="4">
        <f>IF(B136&lt;=Supuestos!$B$26,$D$38*(1+Supuestos!$B$9)^(17-1),0)</f>
        <v>0</v>
      </c>
      <c r="E136" s="4">
        <f t="shared" si="21"/>
        <v>101777640.92841749</v>
      </c>
      <c r="F136" s="4">
        <f>$D$43*(1+Supuestos!$B$9)^(17-1)*(1-Supuestos!$B$11)^(17-1)</f>
        <v>5906814.5638830429</v>
      </c>
      <c r="G136" s="4">
        <f>$D$44*(1+Supuestos!$B$9)^(17-1)*(1-Supuestos!$B$12)^(17-1)</f>
        <v>13991790.895580247</v>
      </c>
      <c r="H136" s="4">
        <f>IF(17&lt;=Supuestos!$B$18,$D$42*$D$31*(1+Supuestos!$B$10)^(17-1)*(1-Supuestos!$B$11)^(17-1),0)</f>
        <v>0</v>
      </c>
      <c r="I136" s="4">
        <f>IF(17&lt;=Supuestos!$B$19,G136*$D$32,0)</f>
        <v>0</v>
      </c>
      <c r="J136" s="9">
        <f t="shared" si="22"/>
        <v>19898605.459463291</v>
      </c>
      <c r="K136" s="4">
        <f t="shared" si="23"/>
        <v>134179421.10763639</v>
      </c>
      <c r="L136" s="7">
        <f t="shared" si="24"/>
        <v>0.19551057853127515</v>
      </c>
      <c r="M136" s="4">
        <f>IF(17&lt;=Supuestos!$B$18,H136-Supuestos!$B$22*$D$26*(1+Supuestos!$B$9)^(17-1),0)</f>
        <v>0</v>
      </c>
      <c r="N136" s="4">
        <f>IF(17&lt;=Supuestos!$B$19,I136-Supuestos!$B$23*$D$29*(1+Supuestos!$B$9)^(17-1),0)</f>
        <v>0</v>
      </c>
      <c r="O136" s="4">
        <f t="shared" si="25"/>
        <v>16302126.444076682</v>
      </c>
      <c r="P136" s="4">
        <f t="shared" si="26"/>
        <v>33059116.118804891</v>
      </c>
    </row>
    <row r="137" spans="1:16" x14ac:dyDescent="0.3">
      <c r="B137" s="18">
        <f>Supuestos!$B$25+18-1</f>
        <v>2043</v>
      </c>
      <c r="C137" s="4">
        <f>$D$39*(1+Supuestos!$B$9)^(18-1)</f>
        <v>107884299.38412255</v>
      </c>
      <c r="D137" s="4">
        <f>IF(B137&lt;=Supuestos!$B$26,$D$38*(1+Supuestos!$B$9)^(18-1),0)</f>
        <v>0</v>
      </c>
      <c r="E137" s="4">
        <f t="shared" si="21"/>
        <v>107884299.38412255</v>
      </c>
      <c r="F137" s="4">
        <f>$D$43*(1+Supuestos!$B$9)^(18-1)*(1-Supuestos!$B$11)^(18-1)</f>
        <v>6229917.3205274455</v>
      </c>
      <c r="G137" s="4">
        <f>$D$44*(1+Supuestos!$B$9)^(18-1)*(1-Supuestos!$B$12)^(18-1)</f>
        <v>14645907.119948626</v>
      </c>
      <c r="H137" s="4">
        <f>IF(18&lt;=Supuestos!$B$18,$D$42*$D$31*(1+Supuestos!$B$10)^(18-1)*(1-Supuestos!$B$11)^(18-1),0)</f>
        <v>0</v>
      </c>
      <c r="I137" s="4">
        <f>IF(18&lt;=Supuestos!$B$19,G137*$D$32,0)</f>
        <v>0</v>
      </c>
      <c r="J137" s="9">
        <f t="shared" si="22"/>
        <v>20875824.440476071</v>
      </c>
      <c r="K137" s="4">
        <f t="shared" si="23"/>
        <v>155055245.54811245</v>
      </c>
      <c r="L137" s="7">
        <f t="shared" si="24"/>
        <v>0.19350196979217152</v>
      </c>
      <c r="M137" s="4">
        <f>IF(18&lt;=Supuestos!$B$18,H137-Supuestos!$B$22*$D$26*(1+Supuestos!$B$9)^(18-1),0)</f>
        <v>0</v>
      </c>
      <c r="N137" s="4">
        <f>IF(18&lt;=Supuestos!$B$19,I137-Supuestos!$B$23*$D$29*(1+Supuestos!$B$9)^(18-1),0)</f>
        <v>0</v>
      </c>
      <c r="O137" s="4">
        <f t="shared" si="25"/>
        <v>16302126.444076682</v>
      </c>
      <c r="P137" s="4">
        <f t="shared" si="26"/>
        <v>33059116.118804891</v>
      </c>
    </row>
    <row r="138" spans="1:16" x14ac:dyDescent="0.3">
      <c r="B138" s="18">
        <f>Supuestos!$B$25+19-1</f>
        <v>2044</v>
      </c>
      <c r="C138" s="4">
        <f>$D$39*(1+Supuestos!$B$9)^(19-1)</f>
        <v>114357357.34716991</v>
      </c>
      <c r="D138" s="4">
        <f>IF(B138&lt;=Supuestos!$B$26,$D$38*(1+Supuestos!$B$9)^(19-1),0)</f>
        <v>0</v>
      </c>
      <c r="E138" s="4">
        <f t="shared" si="21"/>
        <v>114357357.34716991</v>
      </c>
      <c r="F138" s="4">
        <f>$D$43*(1+Supuestos!$B$9)^(19-1)*(1-Supuestos!$B$11)^(19-1)</f>
        <v>6570693.7979602972</v>
      </c>
      <c r="G138" s="4">
        <f>$D$44*(1+Supuestos!$B$9)^(19-1)*(1-Supuestos!$B$12)^(19-1)</f>
        <v>15330603.277806224</v>
      </c>
      <c r="H138" s="4">
        <f>IF(19&lt;=Supuestos!$B$18,$D$42*$D$31*(1+Supuestos!$B$10)^(19-1)*(1-Supuestos!$B$11)^(19-1),0)</f>
        <v>0</v>
      </c>
      <c r="I138" s="4">
        <f>IF(19&lt;=Supuestos!$B$19,G138*$D$32,0)</f>
        <v>0</v>
      </c>
      <c r="J138" s="9">
        <f t="shared" si="22"/>
        <v>21901297.075766522</v>
      </c>
      <c r="K138" s="4">
        <f t="shared" si="23"/>
        <v>176956542.62387899</v>
      </c>
      <c r="L138" s="7">
        <f t="shared" si="24"/>
        <v>0.19151629229484404</v>
      </c>
      <c r="M138" s="4">
        <f>IF(19&lt;=Supuestos!$B$18,H138-Supuestos!$B$22*$D$26*(1+Supuestos!$B$9)^(19-1),0)</f>
        <v>0</v>
      </c>
      <c r="N138" s="4">
        <f>IF(19&lt;=Supuestos!$B$19,I138-Supuestos!$B$23*$D$29*(1+Supuestos!$B$9)^(19-1),0)</f>
        <v>0</v>
      </c>
      <c r="O138" s="4">
        <f t="shared" si="25"/>
        <v>16302126.444076682</v>
      </c>
      <c r="P138" s="4">
        <f t="shared" si="26"/>
        <v>33059116.118804891</v>
      </c>
    </row>
    <row r="139" spans="1:16" x14ac:dyDescent="0.3">
      <c r="B139" s="18">
        <f>Supuestos!$B$25+20-1</f>
        <v>2045</v>
      </c>
      <c r="C139" s="4">
        <f>$D$39*(1+Supuestos!$B$9)^(20-1)</f>
        <v>121218798.78800012</v>
      </c>
      <c r="D139" s="4">
        <f>IF(B139&lt;=Supuestos!$B$26,$D$38*(1+Supuestos!$B$9)^(20-1),0)</f>
        <v>0</v>
      </c>
      <c r="E139" s="4">
        <f t="shared" si="21"/>
        <v>121218798.78800012</v>
      </c>
      <c r="F139" s="4">
        <f>$D$43*(1+Supuestos!$B$9)^(20-1)*(1-Supuestos!$B$11)^(20-1)</f>
        <v>6930110.7487087268</v>
      </c>
      <c r="G139" s="4">
        <f>$D$44*(1+Supuestos!$B$9)^(20-1)*(1-Supuestos!$B$12)^(20-1)</f>
        <v>16047308.981043668</v>
      </c>
      <c r="H139" s="4">
        <f>IF(20&lt;=Supuestos!$B$18,$D$42*$D$31*(1+Supuestos!$B$10)^(20-1)*(1-Supuestos!$B$11)^(20-1),0)</f>
        <v>0</v>
      </c>
      <c r="I139" s="4">
        <f>IF(20&lt;=Supuestos!$B$19,G139*$D$32,0)</f>
        <v>0</v>
      </c>
      <c r="J139" s="9">
        <f t="shared" si="22"/>
        <v>22977419.729752395</v>
      </c>
      <c r="K139" s="4">
        <f t="shared" si="23"/>
        <v>199933962.35363138</v>
      </c>
      <c r="L139" s="7">
        <f t="shared" si="24"/>
        <v>0.18955327028060776</v>
      </c>
      <c r="M139" s="4">
        <f>IF(20&lt;=Supuestos!$B$18,H139-Supuestos!$B$22*$D$26*(1+Supuestos!$B$9)^(20-1),0)</f>
        <v>0</v>
      </c>
      <c r="N139" s="4">
        <f>IF(20&lt;=Supuestos!$B$19,I139-Supuestos!$B$23*$D$29*(1+Supuestos!$B$9)^(20-1),0)</f>
        <v>0</v>
      </c>
      <c r="O139" s="4">
        <f t="shared" si="25"/>
        <v>16302126.444076682</v>
      </c>
      <c r="P139" s="4">
        <f t="shared" si="26"/>
        <v>33059116.118804891</v>
      </c>
    </row>
    <row r="143" spans="1:16" x14ac:dyDescent="0.3">
      <c r="A143" s="1" t="s">
        <v>186</v>
      </c>
    </row>
    <row r="145" spans="1:8" x14ac:dyDescent="0.3">
      <c r="B145" s="17" t="s">
        <v>187</v>
      </c>
      <c r="C145" s="17" t="s">
        <v>188</v>
      </c>
      <c r="D145" s="17" t="s">
        <v>189</v>
      </c>
      <c r="E145" s="17" t="s">
        <v>190</v>
      </c>
      <c r="F145" s="17" t="s">
        <v>191</v>
      </c>
      <c r="G145" s="17" t="s">
        <v>192</v>
      </c>
    </row>
    <row r="146" spans="1:8" x14ac:dyDescent="0.3">
      <c r="A146" t="s">
        <v>193</v>
      </c>
      <c r="B146">
        <v>0</v>
      </c>
      <c r="C146" s="4">
        <f>$N$19-C43</f>
        <v>30133910.150947742</v>
      </c>
      <c r="D146" s="4">
        <f>C146-C147</f>
        <v>28089491.092595488</v>
      </c>
      <c r="E146" s="4">
        <f>D146-D147</f>
        <v>21353743.678287692</v>
      </c>
      <c r="F146" s="4">
        <f>E146</f>
        <v>21353743.678287692</v>
      </c>
      <c r="G146" s="4">
        <v>0</v>
      </c>
    </row>
    <row r="147" spans="1:8" x14ac:dyDescent="0.3">
      <c r="A147" t="s">
        <v>194</v>
      </c>
      <c r="B147" s="4">
        <f>$N$19</f>
        <v>32178329.2093</v>
      </c>
      <c r="C147" s="4">
        <f>C43</f>
        <v>2044419.0583522562</v>
      </c>
      <c r="D147" s="4">
        <f>C44</f>
        <v>6735747.4143077945</v>
      </c>
      <c r="E147" s="4">
        <f>C46</f>
        <v>1249199.25539213</v>
      </c>
      <c r="F147" s="4">
        <f>C47</f>
        <v>3367873.7071538973</v>
      </c>
      <c r="G147" s="4">
        <f>B147+C147+D147-E147-F147</f>
        <v>36341422.719414033</v>
      </c>
    </row>
    <row r="150" spans="1:8" x14ac:dyDescent="0.3">
      <c r="A150" s="1" t="s">
        <v>208</v>
      </c>
    </row>
    <row r="151" spans="1:8" x14ac:dyDescent="0.3">
      <c r="A151" s="2" t="s">
        <v>195</v>
      </c>
      <c r="B151" s="2" t="s">
        <v>196</v>
      </c>
      <c r="C151" s="2" t="s">
        <v>197</v>
      </c>
      <c r="D151" s="2" t="s">
        <v>198</v>
      </c>
      <c r="E151" s="2" t="s">
        <v>199</v>
      </c>
      <c r="F151" s="2" t="s">
        <v>200</v>
      </c>
      <c r="G151" s="2" t="s">
        <v>201</v>
      </c>
      <c r="H151" s="2" t="s">
        <v>202</v>
      </c>
    </row>
    <row r="152" spans="1:8" x14ac:dyDescent="0.3">
      <c r="A152" s="18">
        <v>0</v>
      </c>
      <c r="B152" t="s">
        <v>203</v>
      </c>
      <c r="C152" s="4">
        <v>1524.1</v>
      </c>
      <c r="D152" s="4">
        <v>0</v>
      </c>
      <c r="E152" s="4">
        <f t="shared" ref="E152:E175" si="27">C152-D152</f>
        <v>1524.1</v>
      </c>
      <c r="F152" s="4">
        <v>-679.2</v>
      </c>
      <c r="G152" s="4">
        <v>0</v>
      </c>
      <c r="H152" s="4">
        <f t="shared" ref="H152:H175" si="28">E152-F152-G152</f>
        <v>2203.3000000000002</v>
      </c>
    </row>
    <row r="153" spans="1:8" x14ac:dyDescent="0.3">
      <c r="A153" s="18">
        <v>1</v>
      </c>
      <c r="B153" t="s">
        <v>203</v>
      </c>
      <c r="C153" s="4">
        <v>1524.1</v>
      </c>
      <c r="D153" s="4">
        <v>0</v>
      </c>
      <c r="E153" s="4">
        <f t="shared" si="27"/>
        <v>1524.1</v>
      </c>
      <c r="F153" s="4">
        <v>-679.2</v>
      </c>
      <c r="G153" s="4">
        <v>0</v>
      </c>
      <c r="H153" s="4">
        <f t="shared" si="28"/>
        <v>2203.3000000000002</v>
      </c>
    </row>
    <row r="154" spans="1:8" x14ac:dyDescent="0.3">
      <c r="A154" s="18">
        <v>2</v>
      </c>
      <c r="B154" t="s">
        <v>203</v>
      </c>
      <c r="C154" s="4">
        <v>1524.1</v>
      </c>
      <c r="D154" s="4">
        <v>0</v>
      </c>
      <c r="E154" s="4">
        <f t="shared" si="27"/>
        <v>1524.1</v>
      </c>
      <c r="F154" s="4">
        <v>-679.2</v>
      </c>
      <c r="G154" s="4">
        <v>0</v>
      </c>
      <c r="H154" s="4">
        <f t="shared" si="28"/>
        <v>2203.3000000000002</v>
      </c>
    </row>
    <row r="155" spans="1:8" x14ac:dyDescent="0.3">
      <c r="A155" s="18">
        <v>3</v>
      </c>
      <c r="B155" t="s">
        <v>203</v>
      </c>
      <c r="C155" s="4">
        <v>1542</v>
      </c>
      <c r="D155" s="4">
        <v>0</v>
      </c>
      <c r="E155" s="4">
        <f t="shared" si="27"/>
        <v>1542</v>
      </c>
      <c r="F155" s="4">
        <v>-679.2</v>
      </c>
      <c r="G155" s="4">
        <v>0</v>
      </c>
      <c r="H155" s="4">
        <f t="shared" si="28"/>
        <v>2221.1999999999998</v>
      </c>
    </row>
    <row r="156" spans="1:8" x14ac:dyDescent="0.3">
      <c r="A156" s="18">
        <v>4</v>
      </c>
      <c r="B156" t="s">
        <v>203</v>
      </c>
      <c r="C156" s="4">
        <v>1577.9</v>
      </c>
      <c r="D156" s="4">
        <v>0</v>
      </c>
      <c r="E156" s="4">
        <f t="shared" si="27"/>
        <v>1577.9</v>
      </c>
      <c r="F156" s="4">
        <v>-679.2</v>
      </c>
      <c r="G156" s="4">
        <v>0</v>
      </c>
      <c r="H156" s="4">
        <f t="shared" si="28"/>
        <v>2257.1000000000004</v>
      </c>
    </row>
    <row r="157" spans="1:8" x14ac:dyDescent="0.3">
      <c r="A157" s="18">
        <v>5</v>
      </c>
      <c r="B157" t="s">
        <v>203</v>
      </c>
      <c r="C157" s="4">
        <v>1649.6</v>
      </c>
      <c r="D157" s="4">
        <v>0</v>
      </c>
      <c r="E157" s="4">
        <f t="shared" si="27"/>
        <v>1649.6</v>
      </c>
      <c r="F157" s="4">
        <v>-679.2</v>
      </c>
      <c r="G157" s="4">
        <v>0</v>
      </c>
      <c r="H157" s="4">
        <f t="shared" si="28"/>
        <v>2328.8000000000002</v>
      </c>
    </row>
    <row r="158" spans="1:8" x14ac:dyDescent="0.3">
      <c r="A158" s="18">
        <v>6</v>
      </c>
      <c r="B158" t="s">
        <v>204</v>
      </c>
      <c r="C158" s="4">
        <v>1757.2</v>
      </c>
      <c r="D158" s="4">
        <v>0</v>
      </c>
      <c r="E158" s="4">
        <f t="shared" si="27"/>
        <v>1757.2</v>
      </c>
      <c r="F158" s="4">
        <v>0</v>
      </c>
      <c r="G158" s="4">
        <v>0</v>
      </c>
      <c r="H158" s="4">
        <f t="shared" si="28"/>
        <v>1757.2</v>
      </c>
    </row>
    <row r="159" spans="1:8" x14ac:dyDescent="0.3">
      <c r="A159" s="18">
        <v>7</v>
      </c>
      <c r="B159" t="s">
        <v>204</v>
      </c>
      <c r="C159" s="4">
        <v>1882.7</v>
      </c>
      <c r="D159" s="4">
        <v>96.8</v>
      </c>
      <c r="E159" s="4">
        <f t="shared" si="27"/>
        <v>1785.9</v>
      </c>
      <c r="F159" s="4">
        <v>0</v>
      </c>
      <c r="G159" s="4">
        <v>0</v>
      </c>
      <c r="H159" s="4">
        <f t="shared" si="28"/>
        <v>1785.9</v>
      </c>
    </row>
    <row r="160" spans="1:8" x14ac:dyDescent="0.3">
      <c r="A160" s="18">
        <v>8</v>
      </c>
      <c r="B160" t="s">
        <v>204</v>
      </c>
      <c r="C160" s="4">
        <v>2008.2</v>
      </c>
      <c r="D160" s="4">
        <v>187.6</v>
      </c>
      <c r="E160" s="4">
        <f t="shared" si="27"/>
        <v>1820.6000000000001</v>
      </c>
      <c r="F160" s="4">
        <v>0</v>
      </c>
      <c r="G160" s="4">
        <v>0</v>
      </c>
      <c r="H160" s="4">
        <f t="shared" si="28"/>
        <v>1820.6000000000001</v>
      </c>
    </row>
    <row r="161" spans="1:8" x14ac:dyDescent="0.3">
      <c r="A161" s="18">
        <v>9</v>
      </c>
      <c r="B161" t="s">
        <v>204</v>
      </c>
      <c r="C161" s="4">
        <v>2062</v>
      </c>
      <c r="D161" s="4">
        <v>266.5</v>
      </c>
      <c r="E161" s="4">
        <f t="shared" si="27"/>
        <v>1795.5</v>
      </c>
      <c r="F161" s="4">
        <v>0</v>
      </c>
      <c r="G161" s="4">
        <v>0</v>
      </c>
      <c r="H161" s="4">
        <f t="shared" si="28"/>
        <v>1795.5</v>
      </c>
    </row>
    <row r="162" spans="1:8" x14ac:dyDescent="0.3">
      <c r="A162" s="18">
        <v>10</v>
      </c>
      <c r="B162" t="s">
        <v>204</v>
      </c>
      <c r="C162" s="4">
        <v>2079.9</v>
      </c>
      <c r="D162" s="4">
        <v>328.7</v>
      </c>
      <c r="E162" s="4">
        <f t="shared" si="27"/>
        <v>1751.2</v>
      </c>
      <c r="F162" s="4">
        <v>0</v>
      </c>
      <c r="G162" s="4">
        <v>0</v>
      </c>
      <c r="H162" s="4">
        <f t="shared" si="28"/>
        <v>1751.2</v>
      </c>
    </row>
    <row r="163" spans="1:8" x14ac:dyDescent="0.3">
      <c r="A163" s="18">
        <v>11</v>
      </c>
      <c r="B163" t="s">
        <v>204</v>
      </c>
      <c r="C163" s="4">
        <v>2079.9</v>
      </c>
      <c r="D163" s="4">
        <v>370.3</v>
      </c>
      <c r="E163" s="4">
        <f t="shared" si="27"/>
        <v>1709.6000000000001</v>
      </c>
      <c r="F163" s="4">
        <v>0</v>
      </c>
      <c r="G163" s="4">
        <v>0</v>
      </c>
      <c r="H163" s="4">
        <f t="shared" si="28"/>
        <v>1709.6000000000001</v>
      </c>
    </row>
    <row r="164" spans="1:8" x14ac:dyDescent="0.3">
      <c r="A164" s="18">
        <v>12</v>
      </c>
      <c r="B164" t="s">
        <v>204</v>
      </c>
      <c r="C164" s="4">
        <v>2079.9</v>
      </c>
      <c r="D164" s="4">
        <v>388.6</v>
      </c>
      <c r="E164" s="4">
        <f t="shared" si="27"/>
        <v>1691.3000000000002</v>
      </c>
      <c r="F164" s="4">
        <v>0</v>
      </c>
      <c r="G164" s="4">
        <v>0</v>
      </c>
      <c r="H164" s="4">
        <f t="shared" si="28"/>
        <v>1691.3000000000002</v>
      </c>
    </row>
    <row r="165" spans="1:8" x14ac:dyDescent="0.3">
      <c r="A165" s="18">
        <v>13</v>
      </c>
      <c r="B165" t="s">
        <v>204</v>
      </c>
      <c r="C165" s="4">
        <v>2062</v>
      </c>
      <c r="D165" s="4">
        <v>382.5</v>
      </c>
      <c r="E165" s="4">
        <f t="shared" si="27"/>
        <v>1679.5</v>
      </c>
      <c r="F165" s="4">
        <v>0</v>
      </c>
      <c r="G165" s="4">
        <v>0</v>
      </c>
      <c r="H165" s="4">
        <f t="shared" si="28"/>
        <v>1679.5</v>
      </c>
    </row>
    <row r="166" spans="1:8" x14ac:dyDescent="0.3">
      <c r="A166" s="18">
        <v>14</v>
      </c>
      <c r="B166" t="s">
        <v>204</v>
      </c>
      <c r="C166" s="4">
        <v>2044</v>
      </c>
      <c r="D166" s="4">
        <v>352.3</v>
      </c>
      <c r="E166" s="4">
        <f t="shared" si="27"/>
        <v>1691.7</v>
      </c>
      <c r="F166" s="4">
        <v>0</v>
      </c>
      <c r="G166" s="4">
        <v>0</v>
      </c>
      <c r="H166" s="4">
        <f t="shared" si="28"/>
        <v>1691.7</v>
      </c>
    </row>
    <row r="167" spans="1:8" x14ac:dyDescent="0.3">
      <c r="A167" s="18">
        <v>15</v>
      </c>
      <c r="B167" t="s">
        <v>204</v>
      </c>
      <c r="C167" s="4">
        <v>2026.1</v>
      </c>
      <c r="D167" s="4">
        <v>300</v>
      </c>
      <c r="E167" s="4">
        <f t="shared" si="27"/>
        <v>1726.1</v>
      </c>
      <c r="F167" s="4">
        <v>0</v>
      </c>
      <c r="G167" s="4">
        <v>0</v>
      </c>
      <c r="H167" s="4">
        <f t="shared" si="28"/>
        <v>1726.1</v>
      </c>
    </row>
    <row r="168" spans="1:8" x14ac:dyDescent="0.3">
      <c r="A168" s="18">
        <v>16</v>
      </c>
      <c r="B168" t="s">
        <v>204</v>
      </c>
      <c r="C168" s="4">
        <v>2008.2</v>
      </c>
      <c r="D168" s="4">
        <v>228.9</v>
      </c>
      <c r="E168" s="4">
        <f t="shared" si="27"/>
        <v>1779.3</v>
      </c>
      <c r="F168" s="4">
        <v>0</v>
      </c>
      <c r="G168" s="4">
        <v>0</v>
      </c>
      <c r="H168" s="4">
        <f t="shared" si="28"/>
        <v>1779.3</v>
      </c>
    </row>
    <row r="169" spans="1:8" x14ac:dyDescent="0.3">
      <c r="A169" s="18">
        <v>17</v>
      </c>
      <c r="B169" t="s">
        <v>204</v>
      </c>
      <c r="C169" s="4">
        <v>1972.3</v>
      </c>
      <c r="D169" s="4">
        <v>143.30000000000001</v>
      </c>
      <c r="E169" s="4">
        <f t="shared" si="27"/>
        <v>1829</v>
      </c>
      <c r="F169" s="4">
        <v>0</v>
      </c>
      <c r="G169" s="4">
        <v>0</v>
      </c>
      <c r="H169" s="4">
        <f t="shared" si="28"/>
        <v>1829</v>
      </c>
    </row>
    <row r="170" spans="1:8" x14ac:dyDescent="0.3">
      <c r="A170" s="18">
        <v>18</v>
      </c>
      <c r="B170" t="s">
        <v>205</v>
      </c>
      <c r="C170" s="4">
        <v>2008.2</v>
      </c>
      <c r="D170" s="4">
        <v>48.8</v>
      </c>
      <c r="E170" s="4">
        <f t="shared" si="27"/>
        <v>1959.4</v>
      </c>
      <c r="F170" s="4">
        <v>0</v>
      </c>
      <c r="G170" s="4">
        <f>MIN($C$28,MAX(0,E170-$E$180))</f>
        <v>963.81807266258284</v>
      </c>
      <c r="H170" s="4">
        <f t="shared" si="28"/>
        <v>995.58192733741726</v>
      </c>
    </row>
    <row r="171" spans="1:8" x14ac:dyDescent="0.3">
      <c r="A171" s="18">
        <v>19</v>
      </c>
      <c r="B171" t="s">
        <v>205</v>
      </c>
      <c r="C171" s="4">
        <v>2044</v>
      </c>
      <c r="D171" s="4">
        <v>0</v>
      </c>
      <c r="E171" s="4">
        <f t="shared" si="27"/>
        <v>2044</v>
      </c>
      <c r="F171" s="4">
        <v>0</v>
      </c>
      <c r="G171" s="4">
        <f>MIN($C$28,MAX(0,E171-$E$180))</f>
        <v>1048.4180726625827</v>
      </c>
      <c r="H171" s="4">
        <f t="shared" si="28"/>
        <v>995.58192733741726</v>
      </c>
    </row>
    <row r="172" spans="1:8" x14ac:dyDescent="0.3">
      <c r="A172" s="18">
        <v>20</v>
      </c>
      <c r="B172" t="s">
        <v>205</v>
      </c>
      <c r="C172" s="4">
        <v>2008.2</v>
      </c>
      <c r="D172" s="4">
        <v>0</v>
      </c>
      <c r="E172" s="4">
        <f t="shared" si="27"/>
        <v>2008.2</v>
      </c>
      <c r="F172" s="4">
        <v>0</v>
      </c>
      <c r="G172" s="4">
        <f>MIN($C$28,MAX(0,E172-$E$180))</f>
        <v>1012.6180726625828</v>
      </c>
      <c r="H172" s="4">
        <f t="shared" si="28"/>
        <v>995.58192733741726</v>
      </c>
    </row>
    <row r="173" spans="1:8" x14ac:dyDescent="0.3">
      <c r="A173" s="18">
        <v>21</v>
      </c>
      <c r="B173" t="s">
        <v>205</v>
      </c>
      <c r="C173" s="4">
        <v>1882.7</v>
      </c>
      <c r="D173" s="4">
        <v>0</v>
      </c>
      <c r="E173" s="4">
        <f t="shared" si="27"/>
        <v>1882.7</v>
      </c>
      <c r="F173" s="4">
        <v>0</v>
      </c>
      <c r="G173" s="4">
        <f>MIN($C$28,MAX(0,E173-$E$180))</f>
        <v>887.11807266258279</v>
      </c>
      <c r="H173" s="4">
        <f t="shared" si="28"/>
        <v>995.58192733741726</v>
      </c>
    </row>
    <row r="174" spans="1:8" x14ac:dyDescent="0.3">
      <c r="A174" s="18">
        <v>22</v>
      </c>
      <c r="B174" t="s">
        <v>204</v>
      </c>
      <c r="C174" s="4">
        <v>1703.4</v>
      </c>
      <c r="D174" s="4">
        <v>0</v>
      </c>
      <c r="E174" s="4">
        <f t="shared" si="27"/>
        <v>1703.4</v>
      </c>
      <c r="F174" s="4">
        <v>0</v>
      </c>
      <c r="G174" s="4">
        <v>0</v>
      </c>
      <c r="H174" s="4">
        <f t="shared" si="28"/>
        <v>1703.4</v>
      </c>
    </row>
    <row r="175" spans="1:8" x14ac:dyDescent="0.3">
      <c r="A175" s="18">
        <v>23</v>
      </c>
      <c r="B175" t="s">
        <v>204</v>
      </c>
      <c r="C175" s="4">
        <v>1577.9</v>
      </c>
      <c r="D175" s="4">
        <v>0</v>
      </c>
      <c r="E175" s="4">
        <f t="shared" si="27"/>
        <v>1577.9</v>
      </c>
      <c r="F175" s="4">
        <v>0</v>
      </c>
      <c r="G175" s="4">
        <v>0</v>
      </c>
      <c r="H175" s="4">
        <f t="shared" si="28"/>
        <v>1577.9</v>
      </c>
    </row>
    <row r="177" spans="1:8" x14ac:dyDescent="0.3">
      <c r="A177" s="27" t="s">
        <v>209</v>
      </c>
    </row>
    <row r="178" spans="1:8" x14ac:dyDescent="0.3">
      <c r="A178" t="s">
        <v>210</v>
      </c>
      <c r="E178" s="21">
        <f>MAX(E170:E173)</f>
        <v>2044</v>
      </c>
    </row>
    <row r="179" spans="1:8" x14ac:dyDescent="0.3">
      <c r="A179" t="s">
        <v>211</v>
      </c>
      <c r="E179" s="21">
        <f>$C$30</f>
        <v>3911.9722906503312</v>
      </c>
    </row>
    <row r="180" spans="1:8" x14ac:dyDescent="0.3">
      <c r="A180" t="s">
        <v>212</v>
      </c>
      <c r="E180" s="21">
        <f>MAX(0,(SUM(E170:E173)-MIN($C$30,SUM(E170:E173)))/4)</f>
        <v>995.58192733741726</v>
      </c>
    </row>
    <row r="181" spans="1:8" x14ac:dyDescent="0.3">
      <c r="A181" t="s">
        <v>213</v>
      </c>
      <c r="E181" s="21">
        <f>MAX(H170:H173)</f>
        <v>995.58192733741726</v>
      </c>
    </row>
    <row r="182" spans="1:8" x14ac:dyDescent="0.3">
      <c r="A182" s="27" t="s">
        <v>214</v>
      </c>
      <c r="E182" s="29">
        <f>E178-E181</f>
        <v>1048.4180726625827</v>
      </c>
    </row>
    <row r="183" spans="1:8" x14ac:dyDescent="0.3">
      <c r="A183" t="s">
        <v>215</v>
      </c>
      <c r="E183" s="4">
        <f>E182*AVERAGE(B17:M17)</f>
        <v>447264.76029685722</v>
      </c>
    </row>
    <row r="184" spans="1:8" x14ac:dyDescent="0.3">
      <c r="A184" s="28" t="s">
        <v>216</v>
      </c>
    </row>
    <row r="186" spans="1:8" x14ac:dyDescent="0.3">
      <c r="A186" s="27" t="s">
        <v>217</v>
      </c>
    </row>
    <row r="187" spans="1:8" x14ac:dyDescent="0.3">
      <c r="A187" s="27" t="s">
        <v>195</v>
      </c>
      <c r="B187" s="27" t="s">
        <v>196</v>
      </c>
      <c r="C187" s="27" t="s">
        <v>197</v>
      </c>
      <c r="D187" s="27" t="s">
        <v>198</v>
      </c>
      <c r="E187" s="27" t="s">
        <v>199</v>
      </c>
      <c r="F187" s="27" t="s">
        <v>200</v>
      </c>
      <c r="G187" s="27" t="s">
        <v>201</v>
      </c>
      <c r="H187" s="27" t="s">
        <v>202</v>
      </c>
    </row>
    <row r="188" spans="1:8" x14ac:dyDescent="0.3">
      <c r="A188">
        <v>0</v>
      </c>
      <c r="B188" t="s">
        <v>203</v>
      </c>
      <c r="C188">
        <v>1524.1</v>
      </c>
      <c r="D188">
        <v>0</v>
      </c>
      <c r="E188">
        <f t="shared" ref="E188:E211" si="29">C188-D188</f>
        <v>1524.1</v>
      </c>
      <c r="F188">
        <v>-679.2</v>
      </c>
      <c r="G188">
        <v>0</v>
      </c>
      <c r="H188">
        <f t="shared" ref="H188:H211" si="30">E188-F188-G188</f>
        <v>2203.3000000000002</v>
      </c>
    </row>
    <row r="189" spans="1:8" x14ac:dyDescent="0.3">
      <c r="A189">
        <v>1</v>
      </c>
      <c r="B189" t="s">
        <v>203</v>
      </c>
      <c r="C189">
        <v>1524.1</v>
      </c>
      <c r="D189">
        <v>0</v>
      </c>
      <c r="E189">
        <f t="shared" si="29"/>
        <v>1524.1</v>
      </c>
      <c r="F189">
        <v>-679.2</v>
      </c>
      <c r="G189">
        <v>0</v>
      </c>
      <c r="H189">
        <f t="shared" si="30"/>
        <v>2203.3000000000002</v>
      </c>
    </row>
    <row r="190" spans="1:8" x14ac:dyDescent="0.3">
      <c r="A190">
        <v>2</v>
      </c>
      <c r="B190" t="s">
        <v>203</v>
      </c>
      <c r="C190">
        <v>1524.1</v>
      </c>
      <c r="D190">
        <v>0</v>
      </c>
      <c r="E190">
        <f t="shared" si="29"/>
        <v>1524.1</v>
      </c>
      <c r="F190">
        <v>-679.2</v>
      </c>
      <c r="G190">
        <v>0</v>
      </c>
      <c r="H190">
        <f t="shared" si="30"/>
        <v>2203.3000000000002</v>
      </c>
    </row>
    <row r="191" spans="1:8" x14ac:dyDescent="0.3">
      <c r="A191">
        <v>3</v>
      </c>
      <c r="B191" t="s">
        <v>203</v>
      </c>
      <c r="C191">
        <v>1542</v>
      </c>
      <c r="D191">
        <v>0</v>
      </c>
      <c r="E191">
        <f t="shared" si="29"/>
        <v>1542</v>
      </c>
      <c r="F191">
        <v>-679.2</v>
      </c>
      <c r="G191">
        <v>0</v>
      </c>
      <c r="H191">
        <f t="shared" si="30"/>
        <v>2221.1999999999998</v>
      </c>
    </row>
    <row r="192" spans="1:8" x14ac:dyDescent="0.3">
      <c r="A192">
        <v>4</v>
      </c>
      <c r="B192" t="s">
        <v>203</v>
      </c>
      <c r="C192">
        <v>1577.9</v>
      </c>
      <c r="D192">
        <v>0</v>
      </c>
      <c r="E192">
        <f t="shared" si="29"/>
        <v>1577.9</v>
      </c>
      <c r="F192">
        <v>-679.2</v>
      </c>
      <c r="G192">
        <v>0</v>
      </c>
      <c r="H192">
        <f t="shared" si="30"/>
        <v>2257.1000000000004</v>
      </c>
    </row>
    <row r="193" spans="1:8" x14ac:dyDescent="0.3">
      <c r="A193">
        <v>5</v>
      </c>
      <c r="B193" t="s">
        <v>203</v>
      </c>
      <c r="C193">
        <v>1649.6</v>
      </c>
      <c r="D193">
        <v>0</v>
      </c>
      <c r="E193">
        <f t="shared" si="29"/>
        <v>1649.6</v>
      </c>
      <c r="F193">
        <v>-679.2</v>
      </c>
      <c r="G193">
        <v>0</v>
      </c>
      <c r="H193">
        <f t="shared" si="30"/>
        <v>2328.8000000000002</v>
      </c>
    </row>
    <row r="194" spans="1:8" x14ac:dyDescent="0.3">
      <c r="A194">
        <v>6</v>
      </c>
      <c r="B194" t="s">
        <v>204</v>
      </c>
      <c r="C194">
        <v>1757.2</v>
      </c>
      <c r="D194">
        <v>0</v>
      </c>
      <c r="E194">
        <f t="shared" si="29"/>
        <v>1757.2</v>
      </c>
      <c r="F194">
        <v>0</v>
      </c>
      <c r="G194">
        <v>0</v>
      </c>
      <c r="H194">
        <f t="shared" si="30"/>
        <v>1757.2</v>
      </c>
    </row>
    <row r="195" spans="1:8" x14ac:dyDescent="0.3">
      <c r="A195">
        <v>7</v>
      </c>
      <c r="B195" t="s">
        <v>204</v>
      </c>
      <c r="C195">
        <v>1882.7</v>
      </c>
      <c r="D195">
        <v>96.8</v>
      </c>
      <c r="E195">
        <f t="shared" si="29"/>
        <v>1785.9</v>
      </c>
      <c r="F195">
        <v>0</v>
      </c>
      <c r="G195">
        <v>0</v>
      </c>
      <c r="H195">
        <f t="shared" si="30"/>
        <v>1785.9</v>
      </c>
    </row>
    <row r="196" spans="1:8" x14ac:dyDescent="0.3">
      <c r="A196">
        <v>8</v>
      </c>
      <c r="B196" t="s">
        <v>204</v>
      </c>
      <c r="C196">
        <v>2008.2</v>
      </c>
      <c r="D196">
        <v>187.6</v>
      </c>
      <c r="E196">
        <f t="shared" si="29"/>
        <v>1820.6000000000001</v>
      </c>
      <c r="F196">
        <v>0</v>
      </c>
      <c r="G196">
        <v>0</v>
      </c>
      <c r="H196">
        <f t="shared" si="30"/>
        <v>1820.6000000000001</v>
      </c>
    </row>
    <row r="197" spans="1:8" x14ac:dyDescent="0.3">
      <c r="A197">
        <v>9</v>
      </c>
      <c r="B197" t="s">
        <v>204</v>
      </c>
      <c r="C197">
        <v>2062</v>
      </c>
      <c r="D197">
        <v>266.5</v>
      </c>
      <c r="E197">
        <f t="shared" si="29"/>
        <v>1795.5</v>
      </c>
      <c r="F197">
        <v>0</v>
      </c>
      <c r="G197">
        <v>0</v>
      </c>
      <c r="H197">
        <f t="shared" si="30"/>
        <v>1795.5</v>
      </c>
    </row>
    <row r="198" spans="1:8" x14ac:dyDescent="0.3">
      <c r="A198">
        <v>10</v>
      </c>
      <c r="B198" t="s">
        <v>204</v>
      </c>
      <c r="C198">
        <v>2079.9</v>
      </c>
      <c r="D198">
        <v>328.7</v>
      </c>
      <c r="E198">
        <f t="shared" si="29"/>
        <v>1751.2</v>
      </c>
      <c r="F198">
        <v>0</v>
      </c>
      <c r="G198">
        <v>0</v>
      </c>
      <c r="H198">
        <f t="shared" si="30"/>
        <v>1751.2</v>
      </c>
    </row>
    <row r="199" spans="1:8" x14ac:dyDescent="0.3">
      <c r="A199">
        <v>11</v>
      </c>
      <c r="B199" t="s">
        <v>204</v>
      </c>
      <c r="C199">
        <v>2079.9</v>
      </c>
      <c r="D199">
        <v>370.3</v>
      </c>
      <c r="E199">
        <f t="shared" si="29"/>
        <v>1709.6000000000001</v>
      </c>
      <c r="F199">
        <v>0</v>
      </c>
      <c r="G199">
        <v>0</v>
      </c>
      <c r="H199">
        <f t="shared" si="30"/>
        <v>1709.6000000000001</v>
      </c>
    </row>
    <row r="200" spans="1:8" x14ac:dyDescent="0.3">
      <c r="A200">
        <v>12</v>
      </c>
      <c r="B200" t="s">
        <v>204</v>
      </c>
      <c r="C200">
        <v>2079.9</v>
      </c>
      <c r="D200">
        <v>388.6</v>
      </c>
      <c r="E200">
        <f t="shared" si="29"/>
        <v>1691.3000000000002</v>
      </c>
      <c r="F200">
        <v>0</v>
      </c>
      <c r="G200">
        <v>0</v>
      </c>
      <c r="H200">
        <f t="shared" si="30"/>
        <v>1691.3000000000002</v>
      </c>
    </row>
    <row r="201" spans="1:8" x14ac:dyDescent="0.3">
      <c r="A201">
        <v>13</v>
      </c>
      <c r="B201" t="s">
        <v>204</v>
      </c>
      <c r="C201">
        <v>2062</v>
      </c>
      <c r="D201">
        <v>382.5</v>
      </c>
      <c r="E201">
        <f t="shared" si="29"/>
        <v>1679.5</v>
      </c>
      <c r="F201">
        <v>0</v>
      </c>
      <c r="G201">
        <v>0</v>
      </c>
      <c r="H201">
        <f t="shared" si="30"/>
        <v>1679.5</v>
      </c>
    </row>
    <row r="202" spans="1:8" x14ac:dyDescent="0.3">
      <c r="A202">
        <v>14</v>
      </c>
      <c r="B202" t="s">
        <v>204</v>
      </c>
      <c r="C202">
        <v>2044</v>
      </c>
      <c r="D202">
        <v>352.3</v>
      </c>
      <c r="E202">
        <f t="shared" si="29"/>
        <v>1691.7</v>
      </c>
      <c r="F202">
        <v>0</v>
      </c>
      <c r="G202">
        <v>0</v>
      </c>
      <c r="H202">
        <f t="shared" si="30"/>
        <v>1691.7</v>
      </c>
    </row>
    <row r="203" spans="1:8" x14ac:dyDescent="0.3">
      <c r="A203">
        <v>15</v>
      </c>
      <c r="B203" t="s">
        <v>204</v>
      </c>
      <c r="C203">
        <v>2026.1</v>
      </c>
      <c r="D203">
        <v>300</v>
      </c>
      <c r="E203">
        <f t="shared" si="29"/>
        <v>1726.1</v>
      </c>
      <c r="F203">
        <v>0</v>
      </c>
      <c r="G203">
        <v>0</v>
      </c>
      <c r="H203">
        <f t="shared" si="30"/>
        <v>1726.1</v>
      </c>
    </row>
    <row r="204" spans="1:8" x14ac:dyDescent="0.3">
      <c r="A204">
        <v>16</v>
      </c>
      <c r="B204" t="s">
        <v>204</v>
      </c>
      <c r="C204">
        <v>2008.2</v>
      </c>
      <c r="D204">
        <v>228.9</v>
      </c>
      <c r="E204">
        <f t="shared" si="29"/>
        <v>1779.3</v>
      </c>
      <c r="F204">
        <v>0</v>
      </c>
      <c r="G204">
        <v>0</v>
      </c>
      <c r="H204">
        <f t="shared" si="30"/>
        <v>1779.3</v>
      </c>
    </row>
    <row r="205" spans="1:8" x14ac:dyDescent="0.3">
      <c r="A205">
        <v>17</v>
      </c>
      <c r="B205" t="s">
        <v>204</v>
      </c>
      <c r="C205">
        <v>1972.3</v>
      </c>
      <c r="D205">
        <v>143.30000000000001</v>
      </c>
      <c r="E205">
        <f t="shared" si="29"/>
        <v>1829</v>
      </c>
      <c r="F205">
        <v>0</v>
      </c>
      <c r="G205">
        <v>0</v>
      </c>
      <c r="H205">
        <f t="shared" si="30"/>
        <v>1829</v>
      </c>
    </row>
    <row r="206" spans="1:8" x14ac:dyDescent="0.3">
      <c r="A206">
        <v>18</v>
      </c>
      <c r="B206" t="s">
        <v>204</v>
      </c>
      <c r="C206">
        <v>2008.2</v>
      </c>
      <c r="D206">
        <v>48.8</v>
      </c>
      <c r="E206">
        <f t="shared" si="29"/>
        <v>1959.4</v>
      </c>
      <c r="F206">
        <v>0</v>
      </c>
      <c r="G206">
        <v>0</v>
      </c>
      <c r="H206">
        <f t="shared" si="30"/>
        <v>1959.4</v>
      </c>
    </row>
    <row r="207" spans="1:8" x14ac:dyDescent="0.3">
      <c r="A207">
        <v>19</v>
      </c>
      <c r="B207" t="s">
        <v>204</v>
      </c>
      <c r="C207">
        <v>2044</v>
      </c>
      <c r="D207">
        <v>0</v>
      </c>
      <c r="E207">
        <f t="shared" si="29"/>
        <v>2044</v>
      </c>
      <c r="F207">
        <v>0</v>
      </c>
      <c r="G207">
        <v>0</v>
      </c>
      <c r="H207">
        <f t="shared" si="30"/>
        <v>2044</v>
      </c>
    </row>
    <row r="208" spans="1:8" x14ac:dyDescent="0.3">
      <c r="A208">
        <v>20</v>
      </c>
      <c r="B208" t="s">
        <v>205</v>
      </c>
      <c r="C208">
        <v>2008.2</v>
      </c>
      <c r="D208">
        <v>0</v>
      </c>
      <c r="E208">
        <f t="shared" si="29"/>
        <v>2008.2</v>
      </c>
      <c r="F208">
        <v>0</v>
      </c>
      <c r="G208" s="4">
        <f>MIN($C$28,MAX(0,E208-$E$216))</f>
        <v>2008.2</v>
      </c>
      <c r="H208" s="4">
        <f t="shared" si="30"/>
        <v>0</v>
      </c>
    </row>
    <row r="209" spans="1:8" x14ac:dyDescent="0.3">
      <c r="A209">
        <v>21</v>
      </c>
      <c r="B209" t="s">
        <v>205</v>
      </c>
      <c r="C209">
        <v>1882.7</v>
      </c>
      <c r="D209">
        <v>0</v>
      </c>
      <c r="E209">
        <f t="shared" si="29"/>
        <v>1882.7</v>
      </c>
      <c r="F209">
        <v>0</v>
      </c>
      <c r="G209" s="4">
        <f>MIN($C$28,MAX(0,E209-$E$216))</f>
        <v>1882.7</v>
      </c>
      <c r="H209" s="4">
        <f t="shared" si="30"/>
        <v>0</v>
      </c>
    </row>
    <row r="210" spans="1:8" x14ac:dyDescent="0.3">
      <c r="A210">
        <v>22</v>
      </c>
      <c r="B210" t="s">
        <v>204</v>
      </c>
      <c r="C210">
        <v>1703.4</v>
      </c>
      <c r="D210">
        <v>0</v>
      </c>
      <c r="E210">
        <f t="shared" si="29"/>
        <v>1703.4</v>
      </c>
      <c r="F210">
        <v>0</v>
      </c>
      <c r="G210">
        <v>0</v>
      </c>
      <c r="H210">
        <f t="shared" si="30"/>
        <v>1703.4</v>
      </c>
    </row>
    <row r="211" spans="1:8" x14ac:dyDescent="0.3">
      <c r="A211">
        <v>23</v>
      </c>
      <c r="B211" t="s">
        <v>204</v>
      </c>
      <c r="C211">
        <v>1577.9</v>
      </c>
      <c r="D211">
        <v>0</v>
      </c>
      <c r="E211">
        <f t="shared" si="29"/>
        <v>1577.9</v>
      </c>
      <c r="F211">
        <v>0</v>
      </c>
      <c r="G211">
        <v>0</v>
      </c>
      <c r="H211">
        <f t="shared" si="30"/>
        <v>1577.9</v>
      </c>
    </row>
    <row r="213" spans="1:8" x14ac:dyDescent="0.3">
      <c r="A213" s="27" t="s">
        <v>218</v>
      </c>
    </row>
    <row r="214" spans="1:8" x14ac:dyDescent="0.3">
      <c r="A214" t="s">
        <v>210</v>
      </c>
      <c r="E214" s="21">
        <f>MAX(E208:E209)</f>
        <v>2008.2</v>
      </c>
    </row>
    <row r="215" spans="1:8" x14ac:dyDescent="0.3">
      <c r="A215" t="s">
        <v>211</v>
      </c>
      <c r="E215" s="21">
        <f>$C$30</f>
        <v>3911.9722906503312</v>
      </c>
    </row>
    <row r="216" spans="1:8" x14ac:dyDescent="0.3">
      <c r="A216" t="s">
        <v>212</v>
      </c>
      <c r="E216" s="21">
        <f>MAX(0,(SUM(E208:E209)-MIN($C$30,SUM(E208:E209)))/2)</f>
        <v>0</v>
      </c>
    </row>
    <row r="217" spans="1:8" x14ac:dyDescent="0.3">
      <c r="A217" t="s">
        <v>213</v>
      </c>
      <c r="E217" s="21">
        <f>MAX(H208:H209)</f>
        <v>0</v>
      </c>
    </row>
    <row r="218" spans="1:8" x14ac:dyDescent="0.3">
      <c r="A218" s="27" t="s">
        <v>214</v>
      </c>
      <c r="E218" s="29">
        <f>E214-E217</f>
        <v>2008.2</v>
      </c>
    </row>
    <row r="219" spans="1:8" x14ac:dyDescent="0.3">
      <c r="A219" s="28" t="s">
        <v>219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18" width="14" customWidth="1"/>
  </cols>
  <sheetData>
    <row r="1" spans="1:14" x14ac:dyDescent="0.3">
      <c r="A1" s="1" t="s">
        <v>206</v>
      </c>
    </row>
    <row r="3" spans="1:14" x14ac:dyDescent="0.3">
      <c r="A3" s="1" t="s">
        <v>83</v>
      </c>
    </row>
    <row r="4" spans="1:14" x14ac:dyDescent="0.3">
      <c r="A4" s="17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17" t="s">
        <v>97</v>
      </c>
    </row>
    <row r="5" spans="1:14" x14ac:dyDescent="0.3">
      <c r="A5" t="s">
        <v>98</v>
      </c>
      <c r="B5" s="4">
        <v>1554976</v>
      </c>
      <c r="C5" s="4">
        <v>1461034</v>
      </c>
      <c r="D5" s="4">
        <v>1213977</v>
      </c>
      <c r="E5" s="4">
        <v>1460355</v>
      </c>
      <c r="F5" s="4">
        <v>1257774</v>
      </c>
      <c r="G5" s="4">
        <v>1080780</v>
      </c>
      <c r="H5" s="4">
        <v>1215444</v>
      </c>
      <c r="I5" s="4">
        <v>1136000</v>
      </c>
      <c r="J5" s="4">
        <v>1127389</v>
      </c>
      <c r="K5" s="4">
        <v>1258745</v>
      </c>
      <c r="L5" s="4">
        <v>1582579</v>
      </c>
      <c r="M5" s="4">
        <v>1391931</v>
      </c>
      <c r="N5" s="9">
        <f>SUM(B5:M5)</f>
        <v>15740984</v>
      </c>
    </row>
    <row r="6" spans="1:14" x14ac:dyDescent="0.3">
      <c r="A6" t="s">
        <v>99</v>
      </c>
      <c r="B6" s="4">
        <v>2674916</v>
      </c>
      <c r="C6" s="4">
        <v>2511016</v>
      </c>
      <c r="D6" s="4">
        <v>2229430</v>
      </c>
      <c r="E6" s="4">
        <v>2480903</v>
      </c>
      <c r="F6" s="4">
        <v>2130853</v>
      </c>
      <c r="G6" s="4">
        <v>2010757</v>
      </c>
      <c r="H6" s="4">
        <v>1781412</v>
      </c>
      <c r="I6" s="4">
        <v>1717671</v>
      </c>
      <c r="J6" s="4">
        <v>1795542</v>
      </c>
      <c r="K6" s="4">
        <v>1870728</v>
      </c>
      <c r="L6" s="4">
        <v>2238743</v>
      </c>
      <c r="M6" s="4">
        <v>2472488</v>
      </c>
      <c r="N6" s="9">
        <f>SUM(B6:M6)</f>
        <v>25914459</v>
      </c>
    </row>
    <row r="7" spans="1:14" x14ac:dyDescent="0.3">
      <c r="A7" t="s">
        <v>100</v>
      </c>
      <c r="B7" s="4">
        <v>252409</v>
      </c>
      <c r="C7" s="4">
        <v>251483</v>
      </c>
      <c r="D7" s="4">
        <v>229493</v>
      </c>
      <c r="E7" s="4">
        <v>235656</v>
      </c>
      <c r="F7" s="4">
        <v>208228</v>
      </c>
      <c r="G7" s="4">
        <v>247787</v>
      </c>
      <c r="H7" s="4">
        <v>435452</v>
      </c>
      <c r="I7" s="4">
        <v>418355</v>
      </c>
      <c r="J7" s="4">
        <v>466031</v>
      </c>
      <c r="K7" s="4">
        <v>471567</v>
      </c>
      <c r="L7" s="4">
        <v>538917</v>
      </c>
      <c r="M7" s="4">
        <v>308716</v>
      </c>
      <c r="N7" s="9">
        <f>SUM(B7:M7)</f>
        <v>4064094</v>
      </c>
    </row>
    <row r="8" spans="1:14" x14ac:dyDescent="0.3">
      <c r="A8" t="s">
        <v>101</v>
      </c>
      <c r="B8" s="4">
        <f t="shared" ref="B8:M8" si="0">SUM(B5:B7)</f>
        <v>4482301</v>
      </c>
      <c r="C8" s="4">
        <f t="shared" si="0"/>
        <v>4223533</v>
      </c>
      <c r="D8" s="4">
        <f t="shared" si="0"/>
        <v>3672900</v>
      </c>
      <c r="E8" s="4">
        <f t="shared" si="0"/>
        <v>4176914</v>
      </c>
      <c r="F8" s="4">
        <f t="shared" si="0"/>
        <v>3596855</v>
      </c>
      <c r="G8" s="4">
        <f t="shared" si="0"/>
        <v>3339324</v>
      </c>
      <c r="H8" s="4">
        <f t="shared" si="0"/>
        <v>3432308</v>
      </c>
      <c r="I8" s="4">
        <f t="shared" si="0"/>
        <v>3272026</v>
      </c>
      <c r="J8" s="4">
        <f t="shared" si="0"/>
        <v>3388962</v>
      </c>
      <c r="K8" s="4">
        <f t="shared" si="0"/>
        <v>3601040</v>
      </c>
      <c r="L8" s="4">
        <f t="shared" si="0"/>
        <v>4360239</v>
      </c>
      <c r="M8" s="4">
        <f t="shared" si="0"/>
        <v>4173135</v>
      </c>
      <c r="N8" s="9">
        <f>SUM(B8:M8)</f>
        <v>45719537</v>
      </c>
    </row>
    <row r="9" spans="1:14" x14ac:dyDescent="0.3">
      <c r="A9" t="s">
        <v>102</v>
      </c>
      <c r="B9" s="4">
        <v>6509</v>
      </c>
      <c r="C9" s="4">
        <v>6634</v>
      </c>
      <c r="D9" s="4">
        <v>5851</v>
      </c>
      <c r="E9" s="4">
        <v>6354</v>
      </c>
      <c r="F9" s="4">
        <v>5562</v>
      </c>
      <c r="G9" s="4">
        <v>4470</v>
      </c>
      <c r="H9" s="4">
        <v>6123</v>
      </c>
      <c r="I9" s="4">
        <v>5588</v>
      </c>
      <c r="J9" s="4">
        <v>6670</v>
      </c>
      <c r="K9" s="4">
        <v>6525</v>
      </c>
      <c r="L9" s="4">
        <v>6470</v>
      </c>
      <c r="M9" s="4">
        <v>6489</v>
      </c>
      <c r="N9" s="9">
        <f>MAX(B9:M9)</f>
        <v>6670</v>
      </c>
    </row>
    <row r="10" spans="1:14" x14ac:dyDescent="0.3">
      <c r="A10" t="s">
        <v>103</v>
      </c>
      <c r="B10" s="4">
        <v>6565</v>
      </c>
      <c r="C10" s="4">
        <v>6744</v>
      </c>
      <c r="D10" s="4">
        <v>5873</v>
      </c>
      <c r="E10" s="4">
        <v>6492</v>
      </c>
      <c r="F10" s="4">
        <v>6311</v>
      </c>
      <c r="G10" s="4">
        <v>4522</v>
      </c>
      <c r="H10" s="4">
        <v>6215</v>
      </c>
      <c r="I10" s="4">
        <v>6070</v>
      </c>
      <c r="J10" s="4">
        <v>6718</v>
      </c>
      <c r="K10" s="4">
        <v>6557</v>
      </c>
      <c r="L10" s="4">
        <v>6470</v>
      </c>
      <c r="M10" s="4">
        <v>6597</v>
      </c>
      <c r="N10" s="9">
        <f>MAX(B10:M10)</f>
        <v>6744</v>
      </c>
    </row>
    <row r="11" spans="1:14" x14ac:dyDescent="0.3">
      <c r="A11" t="s">
        <v>104</v>
      </c>
      <c r="B11" s="18">
        <v>22</v>
      </c>
      <c r="C11" s="18">
        <v>21</v>
      </c>
      <c r="D11" s="18">
        <v>23</v>
      </c>
      <c r="E11" s="18">
        <v>21</v>
      </c>
      <c r="F11" s="18">
        <v>22</v>
      </c>
      <c r="G11" s="18">
        <v>23</v>
      </c>
      <c r="H11" s="18">
        <v>25</v>
      </c>
      <c r="I11" s="18">
        <v>27</v>
      </c>
      <c r="J11" s="18">
        <v>27</v>
      </c>
      <c r="K11" s="18">
        <v>24</v>
      </c>
      <c r="L11" s="18">
        <v>26</v>
      </c>
      <c r="M11" s="18">
        <v>23</v>
      </c>
    </row>
    <row r="12" spans="1:14" x14ac:dyDescent="0.3">
      <c r="A12" t="s">
        <v>105</v>
      </c>
      <c r="B12" s="19">
        <v>2</v>
      </c>
      <c r="C12" s="19">
        <v>2</v>
      </c>
      <c r="D12" s="19">
        <v>2</v>
      </c>
      <c r="E12" s="19">
        <v>2</v>
      </c>
      <c r="F12" s="19">
        <v>2</v>
      </c>
      <c r="G12" s="19">
        <v>2.4300000000000002</v>
      </c>
      <c r="H12" s="19">
        <v>3.6</v>
      </c>
      <c r="I12" s="19">
        <v>3.7</v>
      </c>
      <c r="J12" s="19">
        <v>3.63</v>
      </c>
      <c r="K12" s="19">
        <v>3.67</v>
      </c>
      <c r="L12" s="19">
        <v>3.69</v>
      </c>
      <c r="M12" s="19">
        <v>2.2599999999999998</v>
      </c>
    </row>
    <row r="13" spans="1:14" x14ac:dyDescent="0.3">
      <c r="A13" t="s">
        <v>106</v>
      </c>
      <c r="B13" s="18">
        <v>31</v>
      </c>
      <c r="C13" s="18">
        <v>30</v>
      </c>
      <c r="D13" s="18">
        <v>31</v>
      </c>
      <c r="E13" s="18">
        <v>31</v>
      </c>
      <c r="F13" s="18">
        <v>30</v>
      </c>
      <c r="G13" s="18">
        <v>31</v>
      </c>
      <c r="H13" s="18">
        <v>30</v>
      </c>
      <c r="I13" s="18">
        <v>31</v>
      </c>
      <c r="J13" s="18">
        <v>31</v>
      </c>
      <c r="K13" s="18">
        <v>28</v>
      </c>
      <c r="L13" s="18">
        <v>31</v>
      </c>
      <c r="M13" s="18">
        <v>30</v>
      </c>
    </row>
    <row r="14" spans="1:14" x14ac:dyDescent="0.3">
      <c r="A14" t="s">
        <v>107</v>
      </c>
      <c r="B14" s="8">
        <v>1.1749000000000001</v>
      </c>
      <c r="C14" s="8">
        <v>1.1982999999999999</v>
      </c>
      <c r="D14" s="8">
        <v>1.2133</v>
      </c>
      <c r="E14" s="8">
        <v>1.2146999999999999</v>
      </c>
      <c r="F14" s="8">
        <v>1.2095</v>
      </c>
      <c r="G14" s="8">
        <v>1.2095</v>
      </c>
      <c r="H14" s="8">
        <v>1.1791</v>
      </c>
      <c r="I14" s="8">
        <v>1.1301000000000001</v>
      </c>
      <c r="J14" s="8">
        <v>1.1060000000000001</v>
      </c>
      <c r="K14" s="8">
        <v>1.1065</v>
      </c>
      <c r="L14" s="8">
        <v>1.1071</v>
      </c>
      <c r="M14" s="8">
        <v>1.107</v>
      </c>
    </row>
    <row r="15" spans="1:14" x14ac:dyDescent="0.3">
      <c r="A15" t="s">
        <v>108</v>
      </c>
      <c r="B15" s="8">
        <v>1.9421999999999999</v>
      </c>
      <c r="C15" s="8">
        <v>1.9837</v>
      </c>
      <c r="D15" s="8">
        <v>2.0106000000000002</v>
      </c>
      <c r="E15" s="8">
        <v>2.0131000000000001</v>
      </c>
      <c r="F15" s="8">
        <v>2.0005000000000002</v>
      </c>
      <c r="G15" s="8">
        <v>2.0005999999999999</v>
      </c>
      <c r="H15" s="8">
        <v>1.9463999999999999</v>
      </c>
      <c r="I15" s="8">
        <v>1.859</v>
      </c>
      <c r="J15" s="8">
        <v>1.8185</v>
      </c>
      <c r="K15" s="8">
        <v>1.8193999999999999</v>
      </c>
      <c r="L15" s="8">
        <v>1.8204</v>
      </c>
      <c r="M15" s="8">
        <v>1.8204</v>
      </c>
    </row>
    <row r="16" spans="1:14" x14ac:dyDescent="0.3">
      <c r="A16" t="s">
        <v>109</v>
      </c>
      <c r="B16" s="8">
        <v>2.2730000000000001</v>
      </c>
      <c r="C16" s="8">
        <v>2.3224</v>
      </c>
      <c r="D16" s="8">
        <v>2.3544</v>
      </c>
      <c r="E16" s="8">
        <v>2.3574000000000002</v>
      </c>
      <c r="F16" s="8">
        <v>2.3416999999999999</v>
      </c>
      <c r="G16" s="8">
        <v>2.3416999999999999</v>
      </c>
      <c r="H16" s="8">
        <v>2.2772999999999999</v>
      </c>
      <c r="I16" s="8">
        <v>2.1734</v>
      </c>
      <c r="J16" s="8">
        <v>2.1257999999999999</v>
      </c>
      <c r="K16" s="8">
        <v>2.1269</v>
      </c>
      <c r="L16" s="8">
        <v>2.1280999999999999</v>
      </c>
      <c r="M16" s="8">
        <v>2.1280000000000001</v>
      </c>
    </row>
    <row r="17" spans="1:14" x14ac:dyDescent="0.3">
      <c r="A17" t="s">
        <v>110</v>
      </c>
      <c r="B17" s="20">
        <v>432.62</v>
      </c>
      <c r="C17" s="20">
        <v>442.9</v>
      </c>
      <c r="D17" s="20">
        <v>449.54</v>
      </c>
      <c r="E17" s="20">
        <v>450.17</v>
      </c>
      <c r="F17" s="20">
        <v>446.05</v>
      </c>
      <c r="G17" s="20">
        <v>446.05</v>
      </c>
      <c r="H17" s="20">
        <v>432.66</v>
      </c>
      <c r="I17" s="20">
        <v>411.03</v>
      </c>
      <c r="J17" s="20">
        <v>401.78</v>
      </c>
      <c r="K17" s="20">
        <v>402.01</v>
      </c>
      <c r="L17" s="20">
        <v>402.26</v>
      </c>
      <c r="M17" s="20">
        <v>402.24</v>
      </c>
    </row>
    <row r="18" spans="1:14" x14ac:dyDescent="0.3">
      <c r="A18" t="s">
        <v>111</v>
      </c>
      <c r="B18" s="20">
        <v>91.12</v>
      </c>
      <c r="C18" s="20">
        <v>91.12</v>
      </c>
      <c r="D18" s="20">
        <v>91.12</v>
      </c>
      <c r="E18" s="20">
        <v>91.12</v>
      </c>
      <c r="F18" s="20">
        <v>91.12</v>
      </c>
      <c r="G18" s="20">
        <v>91.12</v>
      </c>
      <c r="H18" s="20">
        <v>91.12</v>
      </c>
      <c r="I18" s="20">
        <v>91.12</v>
      </c>
      <c r="J18" s="20">
        <v>86.15</v>
      </c>
      <c r="K18" s="20">
        <v>86.15</v>
      </c>
      <c r="L18" s="20">
        <v>86.15</v>
      </c>
      <c r="M18" s="20">
        <v>86.15</v>
      </c>
    </row>
    <row r="19" spans="1:14" x14ac:dyDescent="0.3">
      <c r="A19" t="s">
        <v>112</v>
      </c>
      <c r="B19" s="4">
        <v>8530453.4149999991</v>
      </c>
      <c r="C19" s="4">
        <v>10067365.467800001</v>
      </c>
      <c r="D19" s="4">
        <v>9371204.3050999995</v>
      </c>
      <c r="E19" s="4">
        <v>10432412.8235</v>
      </c>
      <c r="F19" s="4">
        <v>9148607.7594999988</v>
      </c>
      <c r="G19" s="4">
        <v>8701905.6315000001</v>
      </c>
      <c r="H19" s="4">
        <v>8980129.8618000001</v>
      </c>
      <c r="I19" s="4">
        <v>8145664.7927000001</v>
      </c>
      <c r="J19" s="4">
        <v>6171336.9450000003</v>
      </c>
      <c r="K19" s="4">
        <v>6424180.1788000008</v>
      </c>
      <c r="L19" s="4">
        <v>8245044.0016000001</v>
      </c>
      <c r="M19" s="4">
        <v>7918464.6143999994</v>
      </c>
      <c r="N19" s="9">
        <f>SUM(B19:M19)</f>
        <v>102136769.79669999</v>
      </c>
    </row>
    <row r="20" spans="1:14" x14ac:dyDescent="0.3">
      <c r="A20" t="s">
        <v>113</v>
      </c>
      <c r="B20" s="4">
        <f>B8/(24*B13*Supuestos!$B$15)</f>
        <v>10569.470382946614</v>
      </c>
      <c r="C20" s="4">
        <f>C8/(24*C13*Supuestos!$B$15)</f>
        <v>10291.259746588694</v>
      </c>
      <c r="D20" s="4">
        <f>D8/(24*D13*Supuestos!$B$15)</f>
        <v>8660.8658743633277</v>
      </c>
      <c r="E20" s="4">
        <f>E8/(24*E13*Supuestos!$B$15)</f>
        <v>9849.3538954914166</v>
      </c>
      <c r="F20" s="4">
        <f>F8/(24*F13*Supuestos!$B$15)</f>
        <v>8764.2665692007795</v>
      </c>
      <c r="G20" s="4">
        <f>G8/(24*G13*Supuestos!$B$15)</f>
        <v>7874.2784380305602</v>
      </c>
      <c r="H20" s="4">
        <f>H8/(24*H13*Supuestos!$B$15)</f>
        <v>8363.3235867446401</v>
      </c>
      <c r="I20" s="4">
        <f>I8/(24*I13*Supuestos!$B$15)</f>
        <v>7715.5866817581591</v>
      </c>
      <c r="J20" s="4">
        <f>J8/(24*J13*Supuestos!$B$15)</f>
        <v>7991.3271080928125</v>
      </c>
      <c r="K20" s="4">
        <f>K8/(24*K13*Supuestos!$B$15)</f>
        <v>9401.2113617376781</v>
      </c>
      <c r="L20" s="4">
        <f>L8/(24*L13*Supuestos!$B$15)</f>
        <v>10281.64261460102</v>
      </c>
      <c r="M20" s="4">
        <f>M8/(24*M13*Supuestos!$B$15)</f>
        <v>10168.457602339182</v>
      </c>
    </row>
    <row r="21" spans="1:14" x14ac:dyDescent="0.3">
      <c r="A21" t="s">
        <v>114</v>
      </c>
      <c r="B21" s="21">
        <v>143.096</v>
      </c>
      <c r="C21" s="21">
        <v>133.91999999999999</v>
      </c>
      <c r="D21" s="21">
        <v>135.16</v>
      </c>
      <c r="E21" s="21">
        <v>126.48</v>
      </c>
      <c r="F21" s="21">
        <v>119.52</v>
      </c>
      <c r="G21" s="21">
        <v>131.68799999999999</v>
      </c>
      <c r="H21" s="21">
        <v>136.56</v>
      </c>
      <c r="I21" s="21">
        <v>130.94399999999999</v>
      </c>
      <c r="J21" s="21">
        <v>142.84800000000001</v>
      </c>
      <c r="K21" s="21">
        <v>139.10400000000001</v>
      </c>
      <c r="L21" s="21">
        <v>170.12799999999999</v>
      </c>
      <c r="M21" s="21">
        <v>150.72</v>
      </c>
      <c r="N21" s="22">
        <f>SUM(B21:M21)</f>
        <v>1660.1679999999999</v>
      </c>
    </row>
    <row r="23" spans="1:14" x14ac:dyDescent="0.3">
      <c r="A23" s="1" t="s">
        <v>115</v>
      </c>
    </row>
    <row r="24" spans="1:14" x14ac:dyDescent="0.3">
      <c r="A24" s="17" t="s">
        <v>116</v>
      </c>
      <c r="C24" s="2" t="s">
        <v>117</v>
      </c>
      <c r="D24" s="2" t="s">
        <v>118</v>
      </c>
    </row>
    <row r="25" spans="1:14" x14ac:dyDescent="0.3">
      <c r="A25" t="s">
        <v>119</v>
      </c>
      <c r="C25" t="s">
        <v>120</v>
      </c>
      <c r="D25" t="s">
        <v>121</v>
      </c>
    </row>
    <row r="26" spans="1:14" x14ac:dyDescent="0.3">
      <c r="A26" t="s">
        <v>122</v>
      </c>
      <c r="C26" s="23">
        <v>1912</v>
      </c>
      <c r="D26" s="23">
        <v>839.45</v>
      </c>
    </row>
    <row r="27" spans="1:14" x14ac:dyDescent="0.3">
      <c r="A27" t="s">
        <v>123</v>
      </c>
      <c r="C27" s="4">
        <f>C26*Supuestos!$B$24</f>
        <v>7648</v>
      </c>
      <c r="D27" s="4">
        <f>D26*Supuestos!$B$24</f>
        <v>3357.8</v>
      </c>
    </row>
    <row r="28" spans="1:14" x14ac:dyDescent="0.3">
      <c r="A28" t="s">
        <v>124</v>
      </c>
      <c r="C28" s="23">
        <v>5837</v>
      </c>
      <c r="D28" s="23">
        <v>5837</v>
      </c>
    </row>
    <row r="29" spans="1:14" x14ac:dyDescent="0.3">
      <c r="A29" t="s">
        <v>125</v>
      </c>
      <c r="C29" s="23">
        <v>11674</v>
      </c>
      <c r="D29" s="23">
        <v>11674</v>
      </c>
    </row>
    <row r="30" spans="1:14" x14ac:dyDescent="0.3">
      <c r="A30" t="s">
        <v>126</v>
      </c>
      <c r="C30" s="4">
        <f>C29*Supuestos!$B$13*SQRT(Supuestos!$B$14)</f>
        <v>10980.611810784314</v>
      </c>
      <c r="D30" s="4">
        <f>D29*Supuestos!$B$13*SQRT(Supuestos!$B$14)</f>
        <v>10980.611810784314</v>
      </c>
    </row>
    <row r="31" spans="1:14" x14ac:dyDescent="0.3">
      <c r="A31" t="s">
        <v>127</v>
      </c>
      <c r="C31" s="24">
        <v>1.3526645380146771</v>
      </c>
      <c r="D31" s="24">
        <v>1.6148562209476132</v>
      </c>
    </row>
    <row r="32" spans="1:14" x14ac:dyDescent="0.3">
      <c r="A32" t="s">
        <v>128</v>
      </c>
      <c r="C32" s="7">
        <f>Supuestos!$B$17</f>
        <v>0.5</v>
      </c>
      <c r="D32" s="7">
        <f>Supuestos!$B$17</f>
        <v>0.5</v>
      </c>
    </row>
    <row r="33" spans="1:4" x14ac:dyDescent="0.3">
      <c r="A33" t="s">
        <v>129</v>
      </c>
      <c r="C33" s="4">
        <f>C26*1000*Supuestos!$B$5</f>
        <v>1242800</v>
      </c>
      <c r="D33" s="4">
        <f>D26*1000*Supuestos!$B$5</f>
        <v>545642.5</v>
      </c>
    </row>
    <row r="34" spans="1:4" x14ac:dyDescent="0.3">
      <c r="A34" t="s">
        <v>130</v>
      </c>
      <c r="C34" s="4">
        <f>C33*Supuestos!$B$4</f>
        <v>21811140</v>
      </c>
      <c r="D34" s="4">
        <f>D33*Supuestos!$B$4</f>
        <v>9576025.875</v>
      </c>
    </row>
    <row r="35" spans="1:4" x14ac:dyDescent="0.3">
      <c r="A35" t="s">
        <v>131</v>
      </c>
      <c r="C35" s="4">
        <f>C29*1000*Supuestos!$B$7</f>
        <v>3268720.0000000005</v>
      </c>
      <c r="D35" s="4">
        <f>D29*1000*Supuestos!$B$7</f>
        <v>3268720.0000000005</v>
      </c>
    </row>
    <row r="36" spans="1:4" x14ac:dyDescent="0.3">
      <c r="A36" t="s">
        <v>132</v>
      </c>
      <c r="C36" s="4">
        <f>C35*Supuestos!$B$4</f>
        <v>57366036.000000007</v>
      </c>
      <c r="D36" s="4">
        <f>D35*Supuestos!$B$4</f>
        <v>57366036.000000007</v>
      </c>
    </row>
    <row r="37" spans="1:4" x14ac:dyDescent="0.3">
      <c r="A37" s="25" t="s">
        <v>133</v>
      </c>
      <c r="B37" s="26"/>
      <c r="C37" s="26"/>
      <c r="D37" s="26"/>
    </row>
    <row r="38" spans="1:4" x14ac:dyDescent="0.3">
      <c r="A38" t="s">
        <v>134</v>
      </c>
      <c r="C38" s="23">
        <v>27268065.03974073</v>
      </c>
      <c r="D38" s="4">
        <f>C38</f>
        <v>27268065.03974073</v>
      </c>
    </row>
    <row r="39" spans="1:4" x14ac:dyDescent="0.3">
      <c r="A39" t="s">
        <v>135</v>
      </c>
      <c r="C39" s="23">
        <f>$N$19+C38</f>
        <v>129404834.83644071</v>
      </c>
      <c r="D39" s="23">
        <f>$N$19+D38</f>
        <v>129404834.83644071</v>
      </c>
    </row>
    <row r="40" spans="1:4" x14ac:dyDescent="0.3">
      <c r="A40" t="s">
        <v>136</v>
      </c>
      <c r="C40" s="4">
        <f>C39-C38</f>
        <v>102136769.79669999</v>
      </c>
      <c r="D40" s="4">
        <f>D39-D38</f>
        <v>102136769.79669999</v>
      </c>
    </row>
    <row r="41" spans="1:4" x14ac:dyDescent="0.3">
      <c r="A41" t="s">
        <v>137</v>
      </c>
      <c r="C41" s="4">
        <f>C72</f>
        <v>3174241.216</v>
      </c>
      <c r="D41" s="4">
        <f>C89</f>
        <v>1393628.0276000001</v>
      </c>
    </row>
    <row r="42" spans="1:4" x14ac:dyDescent="0.3">
      <c r="A42" t="s">
        <v>138</v>
      </c>
      <c r="C42" s="4">
        <f>K72</f>
        <v>3174241.2160019563</v>
      </c>
      <c r="D42" s="4">
        <f>K89</f>
        <v>1393628.0276015038</v>
      </c>
    </row>
    <row r="43" spans="1:4" x14ac:dyDescent="0.3">
      <c r="A43" t="s">
        <v>139</v>
      </c>
      <c r="C43" s="4">
        <f>M72</f>
        <v>5738298.942409738</v>
      </c>
      <c r="D43" s="4">
        <f>M89</f>
        <v>2519359.8322272613</v>
      </c>
    </row>
    <row r="44" spans="1:4" x14ac:dyDescent="0.3">
      <c r="A44" t="s">
        <v>140</v>
      </c>
      <c r="C44" s="4">
        <f>R72*(12-Supuestos!$B$16)/12</f>
        <v>18905822.897649307</v>
      </c>
      <c r="D44" s="4">
        <f>R89*(12-Supuestos!$B$16)/12</f>
        <v>18905822.897649307</v>
      </c>
    </row>
    <row r="45" spans="1:4" x14ac:dyDescent="0.3">
      <c r="A45" s="3" t="s">
        <v>141</v>
      </c>
      <c r="C45" s="6">
        <f>C43+C44</f>
        <v>24644121.840059046</v>
      </c>
      <c r="D45" s="6">
        <f>D43+D44</f>
        <v>21425182.729876567</v>
      </c>
    </row>
    <row r="46" spans="1:4" x14ac:dyDescent="0.3">
      <c r="A46" t="s">
        <v>142</v>
      </c>
      <c r="C46" s="4">
        <f>C42*C31</f>
        <v>3506266.8471957608</v>
      </c>
      <c r="D46" s="4">
        <f>D42*D31</f>
        <v>1539401.5192886211</v>
      </c>
    </row>
    <row r="47" spans="1:4" x14ac:dyDescent="0.3">
      <c r="A47" t="s">
        <v>143</v>
      </c>
      <c r="C47" s="4">
        <f>C44*C32</f>
        <v>9452911.4488246534</v>
      </c>
      <c r="D47" s="4">
        <f>D44*D32</f>
        <v>9452911.4488246534</v>
      </c>
    </row>
    <row r="48" spans="1:4" x14ac:dyDescent="0.3">
      <c r="A48" s="3" t="s">
        <v>144</v>
      </c>
      <c r="C48" s="6">
        <f>C45-C46-C47</f>
        <v>11684943.544038633</v>
      </c>
      <c r="D48" s="6">
        <f>D45-D46-D47</f>
        <v>10432869.761763291</v>
      </c>
    </row>
    <row r="49" spans="1:20" x14ac:dyDescent="0.3">
      <c r="A49" t="s">
        <v>145</v>
      </c>
      <c r="C49" s="7">
        <f>C45/$N$19</f>
        <v>0.24128550265602086</v>
      </c>
      <c r="D49" s="7">
        <f>D45/$N$19</f>
        <v>0.20976953522734973</v>
      </c>
    </row>
    <row r="50" spans="1:20" x14ac:dyDescent="0.3">
      <c r="A50" t="s">
        <v>146</v>
      </c>
      <c r="C50" s="7">
        <f>C48/$N$19</f>
        <v>0.1144048668006355</v>
      </c>
      <c r="D50" s="7">
        <f>D48/$N$19</f>
        <v>0.10214607121930319</v>
      </c>
    </row>
    <row r="51" spans="1:20" x14ac:dyDescent="0.3">
      <c r="A51" t="s">
        <v>147</v>
      </c>
      <c r="C51" s="7">
        <f>IRR(M94:M114)</f>
        <v>0.14109903208916652</v>
      </c>
      <c r="D51" s="7">
        <f>IRR(M119:M139)</f>
        <v>0.14109903208926866</v>
      </c>
    </row>
    <row r="52" spans="1:20" x14ac:dyDescent="0.3">
      <c r="A52" t="s">
        <v>148</v>
      </c>
      <c r="C52" s="7">
        <f>IRR(N94:N114)</f>
        <v>0.13490802380973976</v>
      </c>
      <c r="D52" s="7">
        <f>IRR(N119:N139)</f>
        <v>0.13490802380973976</v>
      </c>
    </row>
    <row r="53" spans="1:20" x14ac:dyDescent="0.3">
      <c r="A53" t="s">
        <v>149</v>
      </c>
      <c r="C53" s="7">
        <v>0.5655</v>
      </c>
      <c r="D53" s="7">
        <v>0.5655</v>
      </c>
    </row>
    <row r="54" spans="1:20" x14ac:dyDescent="0.3">
      <c r="A54" t="s">
        <v>150</v>
      </c>
      <c r="C54" s="18">
        <f>COUNTIF(O94:O114,"&lt;0")</f>
        <v>7</v>
      </c>
      <c r="D54" s="18">
        <f>COUNTIF(O119:O139,"&lt;0")</f>
        <v>7</v>
      </c>
    </row>
    <row r="55" spans="1:20" x14ac:dyDescent="0.3">
      <c r="A55" t="s">
        <v>151</v>
      </c>
      <c r="C55" s="4">
        <f>NPV(Supuestos!$B$21,J95:J114)</f>
        <v>140380046.77141586</v>
      </c>
      <c r="D55" s="4">
        <f>NPV(Supuestos!$B$21,J120:J139)</f>
        <v>122840577.23581366</v>
      </c>
    </row>
    <row r="58" spans="1:20" x14ac:dyDescent="0.3">
      <c r="A58" s="1" t="s">
        <v>152</v>
      </c>
    </row>
    <row r="59" spans="1:20" x14ac:dyDescent="0.3">
      <c r="B59" s="2" t="s">
        <v>84</v>
      </c>
      <c r="C59" s="2" t="s">
        <v>153</v>
      </c>
      <c r="D59" s="2" t="s">
        <v>154</v>
      </c>
      <c r="E59" s="2" t="s">
        <v>155</v>
      </c>
      <c r="F59" s="2" t="s">
        <v>156</v>
      </c>
      <c r="G59" s="2" t="s">
        <v>157</v>
      </c>
      <c r="H59" s="2" t="s">
        <v>158</v>
      </c>
      <c r="I59" s="2" t="s">
        <v>159</v>
      </c>
      <c r="J59" s="2" t="s">
        <v>160</v>
      </c>
      <c r="K59" s="2" t="s">
        <v>161</v>
      </c>
      <c r="L59" s="2" t="s">
        <v>220</v>
      </c>
      <c r="M59" s="2" t="s">
        <v>162</v>
      </c>
      <c r="N59" s="2" t="s">
        <v>163</v>
      </c>
      <c r="O59" s="2" t="s">
        <v>164</v>
      </c>
      <c r="P59" s="2" t="s">
        <v>165</v>
      </c>
      <c r="Q59" s="2" t="s">
        <v>221</v>
      </c>
      <c r="R59" s="2" t="s">
        <v>166</v>
      </c>
      <c r="S59" s="27" t="s">
        <v>222</v>
      </c>
      <c r="T59" s="27" t="s">
        <v>223</v>
      </c>
    </row>
    <row r="60" spans="1:20" x14ac:dyDescent="0.3">
      <c r="B60" t="s">
        <v>85</v>
      </c>
      <c r="C60" s="4">
        <f>$C$26*B$21</f>
        <v>273599.55200000003</v>
      </c>
      <c r="D60" s="7">
        <v>0.12903214092475521</v>
      </c>
      <c r="E60" s="7">
        <v>0.87096785907524488</v>
      </c>
      <c r="F60" s="7">
        <v>0</v>
      </c>
      <c r="G60" s="4">
        <f t="shared" ref="G60:G71" si="1">C60*D60</f>
        <v>35303.135950613891</v>
      </c>
      <c r="H60" s="4">
        <f t="shared" ref="H60:H71" si="2">C60*E60</f>
        <v>238296.41604938614</v>
      </c>
      <c r="I60" s="4">
        <f t="shared" ref="I60:I71" si="3">C60*F60</f>
        <v>0</v>
      </c>
      <c r="J60" s="4">
        <f>G60*B$14+H60*B$15+I60*B$16</f>
        <v>504296.95367949398</v>
      </c>
      <c r="K60" s="4">
        <f t="shared" ref="K60:K71" si="4">G60+H60+I60</f>
        <v>273599.55200000003</v>
      </c>
      <c r="L60" s="23">
        <v>0</v>
      </c>
      <c r="M60" s="4">
        <f t="shared" ref="M60:M71" si="5">J60+L60*$C$26/1912</f>
        <v>504296.95367949398</v>
      </c>
      <c r="N60" s="4">
        <f>MIN($C$30*B$11,$C$28*B$12*B$11,B$7)</f>
        <v>241573.45983725489</v>
      </c>
      <c r="O60" s="4">
        <f>N60/Supuestos!$B$14*B$14</f>
        <v>295650.68537790707</v>
      </c>
      <c r="P60" s="4">
        <f>N60*B$16-O60</f>
        <v>253445.78883217339</v>
      </c>
      <c r="Q60" s="4">
        <f>2375268.62832069*MIN(1,$C$30/10980.6118107843)</f>
        <v>2375268.6283206898</v>
      </c>
      <c r="R60" s="4">
        <f t="shared" ref="R60:R71" si="6">P60+Q60</f>
        <v>2628714.417152863</v>
      </c>
      <c r="S60" s="4">
        <f>Q60/B$17</f>
        <v>5490.427230180504</v>
      </c>
      <c r="T60" s="4">
        <f>B$9-S60</f>
        <v>1018.572769819496</v>
      </c>
    </row>
    <row r="61" spans="1:20" x14ac:dyDescent="0.3">
      <c r="B61" t="s">
        <v>86</v>
      </c>
      <c r="C61" s="4">
        <f>$C$26*C$21</f>
        <v>256055.03999999998</v>
      </c>
      <c r="D61" s="7">
        <v>0.1666656966310664</v>
      </c>
      <c r="E61" s="7">
        <v>0.83333236329773308</v>
      </c>
      <c r="F61" s="7">
        <v>0</v>
      </c>
      <c r="G61" s="4">
        <f t="shared" si="1"/>
        <v>42675.591617495571</v>
      </c>
      <c r="H61" s="4">
        <f t="shared" si="2"/>
        <v>213378.95161749556</v>
      </c>
      <c r="I61" s="4">
        <f t="shared" si="3"/>
        <v>0</v>
      </c>
      <c r="J61" s="4">
        <f>G61*C$14+H61*C$15+I61*C$16</f>
        <v>474417.98775887094</v>
      </c>
      <c r="K61" s="4">
        <f t="shared" si="4"/>
        <v>256054.54323499114</v>
      </c>
      <c r="L61" s="23">
        <v>0</v>
      </c>
      <c r="M61" s="4">
        <f t="shared" si="5"/>
        <v>474417.98775887094</v>
      </c>
      <c r="N61" s="4">
        <f>MIN($C$30*C$11,$C$28*C$12*C$11,C$7)</f>
        <v>230592.8480264706</v>
      </c>
      <c r="O61" s="4">
        <f>N61/Supuestos!$B$14*C$14</f>
        <v>287832.7185313747</v>
      </c>
      <c r="P61" s="4">
        <f>N61*C$16-O61</f>
        <v>247696.11172530067</v>
      </c>
      <c r="Q61" s="4">
        <f>2431710.05204561*MIN(1,$C$30/10980.6118107843)</f>
        <v>2431710.0520456098</v>
      </c>
      <c r="R61" s="4">
        <f t="shared" si="6"/>
        <v>2679406.1637709104</v>
      </c>
      <c r="S61" s="4">
        <f>Q61/C$17</f>
        <v>5490.4268504077891</v>
      </c>
      <c r="T61" s="4">
        <f>C$9-S61</f>
        <v>1143.5731495922109</v>
      </c>
    </row>
    <row r="62" spans="1:20" x14ac:dyDescent="0.3">
      <c r="B62" t="s">
        <v>87</v>
      </c>
      <c r="C62" s="4">
        <f>$C$26*D$21</f>
        <v>258425.91999999998</v>
      </c>
      <c r="D62" s="7">
        <v>0.12903269212655491</v>
      </c>
      <c r="E62" s="7">
        <v>0.87096923014818817</v>
      </c>
      <c r="F62" s="7">
        <v>0</v>
      </c>
      <c r="G62" s="4">
        <f t="shared" si="1"/>
        <v>33345.392172881708</v>
      </c>
      <c r="H62" s="4">
        <f t="shared" si="2"/>
        <v>225081.02459273726</v>
      </c>
      <c r="I62" s="4">
        <f t="shared" si="3"/>
        <v>0</v>
      </c>
      <c r="J62" s="4">
        <f>G62*D$14+H62*D$15+I62*D$16</f>
        <v>493005.87236951495</v>
      </c>
      <c r="K62" s="4">
        <f t="shared" si="4"/>
        <v>258426.41676561895</v>
      </c>
      <c r="L62" s="23">
        <v>0</v>
      </c>
      <c r="M62" s="4">
        <f t="shared" si="5"/>
        <v>493005.87236951495</v>
      </c>
      <c r="N62" s="4">
        <f>MIN($C$30*D$11,$C$28*D$12*D$11,D$7)</f>
        <v>229493</v>
      </c>
      <c r="O62" s="4">
        <f>N62/Supuestos!$B$14*D$14</f>
        <v>290045.68427083333</v>
      </c>
      <c r="P62" s="4">
        <f>N62*D$16-O62</f>
        <v>250272.6349291667</v>
      </c>
      <c r="Q62" s="4">
        <f>2197536.05927338*MIN(1,$C$30/10980.6118107843)</f>
        <v>2197536.0592733799</v>
      </c>
      <c r="R62" s="4">
        <f t="shared" si="6"/>
        <v>2447808.6942025465</v>
      </c>
      <c r="S62" s="4">
        <f>Q62/D$17</f>
        <v>4888.4105069034567</v>
      </c>
      <c r="T62" s="4">
        <f>D$9-S62</f>
        <v>962.58949309654326</v>
      </c>
    </row>
    <row r="63" spans="1:20" x14ac:dyDescent="0.3">
      <c r="B63" t="s">
        <v>88</v>
      </c>
      <c r="C63" s="4">
        <f>$C$26*E$21</f>
        <v>241829.76000000001</v>
      </c>
      <c r="D63" s="7">
        <v>0.16129118401672929</v>
      </c>
      <c r="E63" s="7">
        <v>0.83870881598327063</v>
      </c>
      <c r="F63" s="7">
        <v>0</v>
      </c>
      <c r="G63" s="4">
        <f t="shared" si="1"/>
        <v>39005.008320881483</v>
      </c>
      <c r="H63" s="4">
        <f t="shared" si="2"/>
        <v>202824.75167911852</v>
      </c>
      <c r="I63" s="4">
        <f t="shared" si="3"/>
        <v>0</v>
      </c>
      <c r="J63" s="4">
        <f>G63*E$14+H63*E$15+I63*E$16</f>
        <v>455685.89121260826</v>
      </c>
      <c r="K63" s="4">
        <f t="shared" si="4"/>
        <v>241829.76000000001</v>
      </c>
      <c r="L63" s="23">
        <v>0</v>
      </c>
      <c r="M63" s="4">
        <f t="shared" si="5"/>
        <v>455685.89121260826</v>
      </c>
      <c r="N63" s="4">
        <f>MIN($C$30*E$11,$C$28*E$12*E$11,E$7)</f>
        <v>230592.8480264706</v>
      </c>
      <c r="O63" s="4">
        <f>N63/Supuestos!$B$14*E$14</f>
        <v>291772.01301849354</v>
      </c>
      <c r="P63" s="4">
        <f>N63*E$16-O63</f>
        <v>251827.56691910827</v>
      </c>
      <c r="Q63" s="4">
        <f>2469970.55582272*MIN(1,$C$30/10980.6118107843)</f>
        <v>2469970.5558227198</v>
      </c>
      <c r="R63" s="4">
        <f t="shared" si="6"/>
        <v>2721798.1227418282</v>
      </c>
      <c r="S63" s="4">
        <f>Q63/E$17</f>
        <v>5486.7506849028587</v>
      </c>
      <c r="T63" s="4">
        <f>E$9-S63</f>
        <v>867.24931509714133</v>
      </c>
    </row>
    <row r="64" spans="1:20" x14ac:dyDescent="0.3">
      <c r="B64" t="s">
        <v>89</v>
      </c>
      <c r="C64" s="4">
        <f>$C$26*F$21</f>
        <v>228522.23999999999</v>
      </c>
      <c r="D64" s="7">
        <v>0.1333330434914928</v>
      </c>
      <c r="E64" s="7">
        <v>0.86666478269470304</v>
      </c>
      <c r="F64" s="7">
        <v>0</v>
      </c>
      <c r="G64" s="4">
        <f t="shared" si="1"/>
        <v>30469.565764693354</v>
      </c>
      <c r="H64" s="4">
        <f t="shared" si="2"/>
        <v>198052.17747050678</v>
      </c>
      <c r="I64" s="4">
        <f t="shared" si="3"/>
        <v>0</v>
      </c>
      <c r="J64" s="4">
        <f>G64*F$14+H64*F$15+I64*F$16</f>
        <v>433056.32082214544</v>
      </c>
      <c r="K64" s="4">
        <f t="shared" si="4"/>
        <v>228521.74323520012</v>
      </c>
      <c r="L64" s="23">
        <v>0</v>
      </c>
      <c r="M64" s="4">
        <f t="shared" si="5"/>
        <v>433056.32082214544</v>
      </c>
      <c r="N64" s="4">
        <f>MIN($C$30*F$11,$C$28*F$12*F$11,F$7)</f>
        <v>208228</v>
      </c>
      <c r="O64" s="4">
        <f>N64/Supuestos!$B$14*F$14</f>
        <v>262345.58958333335</v>
      </c>
      <c r="P64" s="4">
        <f>N64*F$16-O64</f>
        <v>225261.9180166666</v>
      </c>
      <c r="Q64" s="4">
        <f>2106915.71437724*MIN(1,$C$30/10980.6118107843)</f>
        <v>2106915.7143772398</v>
      </c>
      <c r="R64" s="4">
        <f t="shared" si="6"/>
        <v>2332177.6323939064</v>
      </c>
      <c r="S64" s="4">
        <f>Q64/F$17</f>
        <v>4723.4967254281801</v>
      </c>
      <c r="T64" s="4">
        <f>F$9-S64</f>
        <v>838.50327457181993</v>
      </c>
    </row>
    <row r="65" spans="1:20" x14ac:dyDescent="0.3">
      <c r="B65" t="s">
        <v>90</v>
      </c>
      <c r="C65" s="4">
        <f>$C$26*G$21</f>
        <v>251787.45599999998</v>
      </c>
      <c r="D65" s="7">
        <v>0.1285241903980239</v>
      </c>
      <c r="E65" s="7">
        <v>0.86893267094666315</v>
      </c>
      <c r="F65" s="7">
        <v>2.54313865531297E-3</v>
      </c>
      <c r="G65" s="4">
        <f t="shared" si="1"/>
        <v>32360.778934778064</v>
      </c>
      <c r="H65" s="4">
        <f t="shared" si="2"/>
        <v>218786.34665294542</v>
      </c>
      <c r="I65" s="4">
        <f t="shared" si="3"/>
        <v>640.33041227651358</v>
      </c>
      <c r="J65" s="4">
        <f>G65*G$14+H65*G$15+I65*G$16</f>
        <v>478343.7889619245</v>
      </c>
      <c r="K65" s="4">
        <f t="shared" si="4"/>
        <v>251787.45600000001</v>
      </c>
      <c r="L65" s="23">
        <v>0</v>
      </c>
      <c r="M65" s="4">
        <f t="shared" si="5"/>
        <v>478343.7889619245</v>
      </c>
      <c r="N65" s="4">
        <f>MIN($C$30*G$11,$C$28*G$12*G$11,G$7)</f>
        <v>247787</v>
      </c>
      <c r="O65" s="4">
        <f>N65/Supuestos!$B$14*G$14</f>
        <v>312185.80885416671</v>
      </c>
      <c r="P65" s="4">
        <f>N65*G$16-O65</f>
        <v>268057.00904583331</v>
      </c>
      <c r="Q65" s="4">
        <f>1224502.01872863*MIN(1,$C$30/10980.6118107843)</f>
        <v>1224502.0187286299</v>
      </c>
      <c r="R65" s="4">
        <f t="shared" si="6"/>
        <v>1492559.0277744632</v>
      </c>
      <c r="S65" s="4">
        <f>Q65/G$17</f>
        <v>2745.2124621200087</v>
      </c>
      <c r="T65" s="4">
        <f>G$9-S65</f>
        <v>1724.7875378799913</v>
      </c>
    </row>
    <row r="66" spans="1:20" x14ac:dyDescent="0.3">
      <c r="B66" t="s">
        <v>91</v>
      </c>
      <c r="C66" s="4">
        <f>$C$26*H$21</f>
        <v>261102.72</v>
      </c>
      <c r="D66" s="7">
        <v>0.16925415615499059</v>
      </c>
      <c r="E66" s="7">
        <v>0.82023226523289305</v>
      </c>
      <c r="F66" s="7">
        <v>1.0513578612116299E-2</v>
      </c>
      <c r="G66" s="4">
        <f t="shared" si="1"/>
        <v>44192.720543372787</v>
      </c>
      <c r="H66" s="4">
        <f t="shared" si="2"/>
        <v>214164.87548406981</v>
      </c>
      <c r="I66" s="4">
        <f t="shared" si="3"/>
        <v>2745.123972557391</v>
      </c>
      <c r="J66" s="4">
        <f>G66*H$14+H66*H$15+I66*H$16</f>
        <v>475209.62125758926</v>
      </c>
      <c r="K66" s="4">
        <f t="shared" si="4"/>
        <v>261102.72</v>
      </c>
      <c r="L66" s="23">
        <v>0</v>
      </c>
      <c r="M66" s="4">
        <f t="shared" si="5"/>
        <v>475209.62125758926</v>
      </c>
      <c r="N66" s="4">
        <f>MIN($C$30*H$11,$C$28*H$12*H$11,H$7)</f>
        <v>274515.29526960786</v>
      </c>
      <c r="O66" s="4">
        <f>N66/Supuestos!$B$14*H$14</f>
        <v>337167.69234624441</v>
      </c>
      <c r="P66" s="4">
        <f>N66*H$16-O66</f>
        <v>287985.98957123357</v>
      </c>
      <c r="Q66" s="4">
        <f>1187744.00483581*MIN(1,$C$30/10980.6118107843)</f>
        <v>1187744.00483581</v>
      </c>
      <c r="R66" s="4">
        <f t="shared" si="6"/>
        <v>1475729.9944070436</v>
      </c>
      <c r="S66" s="4">
        <f>Q66/H$17</f>
        <v>2745.2133426612349</v>
      </c>
      <c r="T66" s="4">
        <f>H$9-S66</f>
        <v>3377.7866573387651</v>
      </c>
    </row>
    <row r="67" spans="1:20" x14ac:dyDescent="0.3">
      <c r="B67" t="s">
        <v>92</v>
      </c>
      <c r="C67" s="4">
        <f>$C$26*I$21</f>
        <v>250364.92799999999</v>
      </c>
      <c r="D67" s="7">
        <v>0.1310343459195619</v>
      </c>
      <c r="E67" s="7">
        <v>0.85726502509970437</v>
      </c>
      <c r="F67" s="7">
        <v>1.1700628980733751E-2</v>
      </c>
      <c r="G67" s="4">
        <f t="shared" si="1"/>
        <v>32806.404581678209</v>
      </c>
      <c r="H67" s="4">
        <f t="shared" si="2"/>
        <v>214629.09628600566</v>
      </c>
      <c r="I67" s="4">
        <f t="shared" si="3"/>
        <v>2929.4271323161188</v>
      </c>
      <c r="J67" s="4">
        <f>G67*I$14+H67*I$15+I67*I$16</f>
        <v>442436.82474281493</v>
      </c>
      <c r="K67" s="4">
        <f t="shared" si="4"/>
        <v>250364.92799999999</v>
      </c>
      <c r="L67" s="23">
        <v>0</v>
      </c>
      <c r="M67" s="4">
        <f t="shared" si="5"/>
        <v>442436.82474281493</v>
      </c>
      <c r="N67" s="4">
        <f>MIN($C$30*I$11,$C$28*I$12*I$11,I$7)</f>
        <v>296476.5188911765</v>
      </c>
      <c r="O67" s="4">
        <f>N67/Supuestos!$B$14*I$14</f>
        <v>349008.4520822069</v>
      </c>
      <c r="P67" s="4">
        <f>N67*I$16-O67</f>
        <v>295353.61407587613</v>
      </c>
      <c r="Q67" s="4">
        <f>1128364.95092183*MIN(1,$C$30/10980.6118107843)</f>
        <v>1128364.95092183</v>
      </c>
      <c r="R67" s="4">
        <f t="shared" si="6"/>
        <v>1423718.5649977061</v>
      </c>
      <c r="S67" s="4">
        <f>Q67/I$17</f>
        <v>2745.2131253724306</v>
      </c>
      <c r="T67" s="4">
        <f>I$9-S67</f>
        <v>2842.7868746275694</v>
      </c>
    </row>
    <row r="68" spans="1:20" x14ac:dyDescent="0.3">
      <c r="B68" t="s">
        <v>93</v>
      </c>
      <c r="C68" s="4">
        <f>$C$26*J$21</f>
        <v>273125.37600000005</v>
      </c>
      <c r="D68" s="7">
        <v>0.132044277274976</v>
      </c>
      <c r="E68" s="7">
        <v>0.85676272444198698</v>
      </c>
      <c r="F68" s="7">
        <v>1.119117946628641E-2</v>
      </c>
      <c r="G68" s="4">
        <f t="shared" si="1"/>
        <v>36064.642879376079</v>
      </c>
      <c r="H68" s="4">
        <f t="shared" si="2"/>
        <v>234003.64125600213</v>
      </c>
      <c r="I68" s="4">
        <f t="shared" si="3"/>
        <v>3056.5950996129554</v>
      </c>
      <c r="J68" s="4">
        <f>G68*J$14+H68*J$15+I68*J$16</f>
        <v>471920.82651138707</v>
      </c>
      <c r="K68" s="4">
        <f t="shared" si="4"/>
        <v>273124.87923499115</v>
      </c>
      <c r="L68" s="23">
        <v>0</v>
      </c>
      <c r="M68" s="4">
        <f t="shared" si="5"/>
        <v>471920.82651138707</v>
      </c>
      <c r="N68" s="4">
        <f>MIN($C$30*J$11,$C$28*J$12*J$11,J$7)</f>
        <v>296476.5188911765</v>
      </c>
      <c r="O68" s="4">
        <f>N68/Supuestos!$B$14*J$14</f>
        <v>341565.65613920963</v>
      </c>
      <c r="P68" s="4">
        <f>N68*J$16-O68</f>
        <v>288684.1277196533</v>
      </c>
      <c r="Q68" s="4">
        <f>1102971.68335545*MIN(1,$C$30/10980.6118107843)</f>
        <v>1102971.6833554499</v>
      </c>
      <c r="R68" s="4">
        <f t="shared" si="6"/>
        <v>1391655.8110751032</v>
      </c>
      <c r="S68" s="4">
        <f>Q68/J$17</f>
        <v>2745.2130104919361</v>
      </c>
      <c r="T68" s="4">
        <f>J$9-S68</f>
        <v>3924.7869895080639</v>
      </c>
    </row>
    <row r="69" spans="1:20" x14ac:dyDescent="0.3">
      <c r="B69" t="s">
        <v>94</v>
      </c>
      <c r="C69" s="4">
        <f>$C$26*K$21</f>
        <v>265966.848</v>
      </c>
      <c r="D69" s="7">
        <v>0.14507552339665711</v>
      </c>
      <c r="E69" s="7">
        <v>0.84366180609902564</v>
      </c>
      <c r="F69" s="7">
        <v>1.126453827720364E-2</v>
      </c>
      <c r="G69" s="4">
        <f t="shared" si="1"/>
        <v>38585.279679759144</v>
      </c>
      <c r="H69" s="4">
        <f t="shared" si="2"/>
        <v>224386.07134614504</v>
      </c>
      <c r="I69" s="4">
        <f t="shared" si="3"/>
        <v>2995.993739763202</v>
      </c>
      <c r="J69" s="4">
        <f>G69*K$14+H69*K$15+I69*K$16</f>
        <v>457314.80925793207</v>
      </c>
      <c r="K69" s="4">
        <f t="shared" si="4"/>
        <v>265967.3447656674</v>
      </c>
      <c r="L69" s="23">
        <v>0</v>
      </c>
      <c r="M69" s="4">
        <f t="shared" si="5"/>
        <v>457314.80925793207</v>
      </c>
      <c r="N69" s="4">
        <f>MIN($C$30*K$11,$C$28*K$12*K$11,K$7)</f>
        <v>263534.68345882354</v>
      </c>
      <c r="O69" s="4">
        <f>N69/Supuestos!$B$14*K$14</f>
        <v>303751.17421582108</v>
      </c>
      <c r="P69" s="4">
        <f>N69*K$16-O69</f>
        <v>256760.74403275072</v>
      </c>
      <c r="Q69" s="4">
        <f>1103603.58088095*MIN(1,$C$30/10980.6118107843)</f>
        <v>1103603.58088095</v>
      </c>
      <c r="R69" s="4">
        <f t="shared" si="6"/>
        <v>1360364.3249137006</v>
      </c>
      <c r="S69" s="4">
        <f>Q69/K$17</f>
        <v>2745.2142505931442</v>
      </c>
      <c r="T69" s="4">
        <f>K$9-S69</f>
        <v>3779.7857494068558</v>
      </c>
    </row>
    <row r="70" spans="1:20" x14ac:dyDescent="0.3">
      <c r="B70" t="s">
        <v>95</v>
      </c>
      <c r="C70" s="4">
        <f>$C$26*L$21</f>
        <v>325284.73599999998</v>
      </c>
      <c r="D70" s="7">
        <v>0.16278409177680109</v>
      </c>
      <c r="E70" s="7">
        <v>0.82602328017764037</v>
      </c>
      <c r="F70" s="7">
        <v>1.1192628045558531E-2</v>
      </c>
      <c r="G70" s="4">
        <f t="shared" si="1"/>
        <v>52951.180318616505</v>
      </c>
      <c r="H70" s="4">
        <f t="shared" si="2"/>
        <v>268692.76462243777</v>
      </c>
      <c r="I70" s="4">
        <f t="shared" si="3"/>
        <v>3640.7910589457024</v>
      </c>
      <c r="J70" s="4">
        <f>G70*L$14+H70*L$15+I70*L$16</f>
        <v>555498.52790196845</v>
      </c>
      <c r="K70" s="4">
        <f t="shared" si="4"/>
        <v>325284.73599999998</v>
      </c>
      <c r="L70" s="23">
        <v>0</v>
      </c>
      <c r="M70" s="4">
        <f t="shared" si="5"/>
        <v>555498.52790196845</v>
      </c>
      <c r="N70" s="4">
        <f>MIN($C$30*L$11,$C$28*L$12*L$11,L$7)</f>
        <v>285495.90708039218</v>
      </c>
      <c r="O70" s="4">
        <f>N70/Supuestos!$B$14*L$14</f>
        <v>329242.20700906479</v>
      </c>
      <c r="P70" s="4">
        <f>N70*L$16-O70</f>
        <v>278321.6328487178</v>
      </c>
      <c r="Q70" s="4">
        <f>1104289.45711356*MIN(1,$C$30/10980.6118107843)</f>
        <v>1104289.4571135601</v>
      </c>
      <c r="R70" s="4">
        <f t="shared" si="6"/>
        <v>1382611.0899622778</v>
      </c>
      <c r="S70" s="4">
        <f>Q70/L$17</f>
        <v>2745.2131882701738</v>
      </c>
      <c r="T70" s="4">
        <f>L$9-S70</f>
        <v>3724.7868117298262</v>
      </c>
    </row>
    <row r="71" spans="1:20" x14ac:dyDescent="0.3">
      <c r="B71" t="s">
        <v>96</v>
      </c>
      <c r="C71" s="4">
        <f>$C$26*M$21</f>
        <v>288176.64000000001</v>
      </c>
      <c r="D71" s="7">
        <v>0.13437716555250251</v>
      </c>
      <c r="E71" s="7">
        <v>0.86404726032828483</v>
      </c>
      <c r="F71" s="7">
        <v>1.5772979421002371E-3</v>
      </c>
      <c r="G71" s="4">
        <f t="shared" si="1"/>
        <v>38724.360061643922</v>
      </c>
      <c r="H71" s="4">
        <f t="shared" si="2"/>
        <v>248998.23628261042</v>
      </c>
      <c r="I71" s="4">
        <f t="shared" si="3"/>
        <v>454.54042123336092</v>
      </c>
      <c r="J71" s="4">
        <f>G71*M$14+H71*M$15+I71*M$16</f>
        <v>497111.51793348842</v>
      </c>
      <c r="K71" s="4">
        <f t="shared" si="4"/>
        <v>288177.13676548767</v>
      </c>
      <c r="L71" s="23">
        <v>0</v>
      </c>
      <c r="M71" s="4">
        <f t="shared" si="5"/>
        <v>497111.51793348842</v>
      </c>
      <c r="N71" s="4">
        <f>MIN($C$30*M$11,$C$28*M$12*M$11,M$7)</f>
        <v>252554.07164803921</v>
      </c>
      <c r="O71" s="4">
        <f>N71/Supuestos!$B$14*M$14</f>
        <v>291226.41386914527</v>
      </c>
      <c r="P71" s="4">
        <f>N71*M$16-O71</f>
        <v>246208.65059788217</v>
      </c>
      <c r="Q71" s="4">
        <f>1104234.98318894*MIN(1,$C$30/10980.6118107843)</f>
        <v>1104234.98318894</v>
      </c>
      <c r="R71" s="4">
        <f t="shared" si="6"/>
        <v>1350443.6337868222</v>
      </c>
      <c r="S71" s="4">
        <f>Q71/M$17</f>
        <v>2745.2142581268395</v>
      </c>
      <c r="T71" s="4">
        <f>M$9-S71</f>
        <v>3743.7857418731605</v>
      </c>
    </row>
    <row r="72" spans="1:20" x14ac:dyDescent="0.3">
      <c r="B72" s="3" t="s">
        <v>97</v>
      </c>
      <c r="C72" s="9">
        <f>SUM(C60:C71)</f>
        <v>3174241.216</v>
      </c>
      <c r="G72" s="9">
        <f>SUM(G60:G71)</f>
        <v>456484.06082579074</v>
      </c>
      <c r="H72" s="9">
        <f>SUM(H60:H71)</f>
        <v>2701294.3533394607</v>
      </c>
      <c r="I72" s="9">
        <f>SUM(I60:I71)</f>
        <v>16462.801836705243</v>
      </c>
      <c r="J72" s="9">
        <f>SUM(J60:J71)</f>
        <v>5738298.942409738</v>
      </c>
      <c r="K72" s="9">
        <f>SUM(K60:K71)</f>
        <v>3174241.2160019563</v>
      </c>
      <c r="M72" s="9">
        <f t="shared" ref="M72:R72" si="7">SUM(M60:M71)</f>
        <v>5738298.942409738</v>
      </c>
      <c r="N72" s="9">
        <f t="shared" si="7"/>
        <v>3057320.1511294125</v>
      </c>
      <c r="O72" s="9">
        <f t="shared" si="7"/>
        <v>3691794.0952978008</v>
      </c>
      <c r="P72" s="9">
        <f t="shared" si="7"/>
        <v>3149875.7883143621</v>
      </c>
      <c r="Q72" s="9">
        <f t="shared" si="7"/>
        <v>19537111.688864809</v>
      </c>
      <c r="R72" s="9">
        <f t="shared" si="7"/>
        <v>22686987.477179166</v>
      </c>
      <c r="S72" s="4">
        <f>AVERAGE(S60:S71)</f>
        <v>3774.6671362882134</v>
      </c>
      <c r="T72" s="4">
        <f>AVERAGE(T60:T71)</f>
        <v>2329.082863711787</v>
      </c>
    </row>
    <row r="73" spans="1:20" x14ac:dyDescent="0.3">
      <c r="A73" s="28" t="s">
        <v>224</v>
      </c>
    </row>
    <row r="75" spans="1:20" x14ac:dyDescent="0.3">
      <c r="A75" s="1" t="s">
        <v>167</v>
      </c>
    </row>
    <row r="76" spans="1:20" x14ac:dyDescent="0.3">
      <c r="B76" s="2" t="s">
        <v>84</v>
      </c>
      <c r="C76" s="2" t="s">
        <v>153</v>
      </c>
      <c r="D76" s="2" t="s">
        <v>154</v>
      </c>
      <c r="E76" s="2" t="s">
        <v>155</v>
      </c>
      <c r="F76" s="2" t="s">
        <v>156</v>
      </c>
      <c r="G76" s="2" t="s">
        <v>157</v>
      </c>
      <c r="H76" s="2" t="s">
        <v>158</v>
      </c>
      <c r="I76" s="2" t="s">
        <v>159</v>
      </c>
      <c r="J76" s="2" t="s">
        <v>160</v>
      </c>
      <c r="K76" s="2" t="s">
        <v>161</v>
      </c>
      <c r="L76" s="2" t="s">
        <v>220</v>
      </c>
      <c r="M76" s="2" t="s">
        <v>162</v>
      </c>
      <c r="N76" s="2" t="s">
        <v>163</v>
      </c>
      <c r="O76" s="2" t="s">
        <v>164</v>
      </c>
      <c r="P76" s="2" t="s">
        <v>165</v>
      </c>
      <c r="Q76" s="2" t="s">
        <v>221</v>
      </c>
      <c r="R76" s="2" t="s">
        <v>166</v>
      </c>
      <c r="S76" s="27" t="s">
        <v>222</v>
      </c>
      <c r="T76" s="27" t="s">
        <v>223</v>
      </c>
    </row>
    <row r="77" spans="1:20" x14ac:dyDescent="0.3">
      <c r="B77" t="s">
        <v>85</v>
      </c>
      <c r="C77" s="4">
        <f>$D$26*B$21</f>
        <v>120121.93720000001</v>
      </c>
      <c r="D77" s="7">
        <v>0.1290327056381568</v>
      </c>
      <c r="E77" s="7">
        <v>0.87096729436184328</v>
      </c>
      <c r="F77" s="7">
        <v>0</v>
      </c>
      <c r="G77" s="4">
        <f t="shared" ref="G77:G88" si="8">C77*D77</f>
        <v>15499.658563412759</v>
      </c>
      <c r="H77" s="4">
        <f t="shared" ref="H77:H88" si="9">C77*E77</f>
        <v>104622.27863658726</v>
      </c>
      <c r="I77" s="4">
        <f t="shared" ref="I77:I88" si="10">C77*F77</f>
        <v>0</v>
      </c>
      <c r="J77" s="4">
        <f>G77*B$14+H77*B$15+I77*B$16</f>
        <v>221407.93841413342</v>
      </c>
      <c r="K77" s="4">
        <f t="shared" ref="K77:K88" si="11">G77+H77+I77</f>
        <v>120121.93720000001</v>
      </c>
      <c r="L77" s="23">
        <v>0</v>
      </c>
      <c r="M77" s="4">
        <f t="shared" ref="M77:M88" si="12">J77+L77*$D$26/839.45</f>
        <v>221407.93841413342</v>
      </c>
      <c r="N77" s="4">
        <f>MIN($D$30*B$11,$D$28*B$12*B$11,B$7)</f>
        <v>241573.45983725489</v>
      </c>
      <c r="O77" s="4">
        <f>N77/Supuestos!$B$14*B$14</f>
        <v>295650.68537790707</v>
      </c>
      <c r="P77" s="4">
        <f>N77*B$16-O77</f>
        <v>253445.78883217339</v>
      </c>
      <c r="Q77" s="4">
        <f>2375268.62832069*MIN(1,$D$30/10980.6118107843)</f>
        <v>2375268.6283206898</v>
      </c>
      <c r="R77" s="4">
        <f t="shared" ref="R77:R88" si="13">P77+Q77</f>
        <v>2628714.417152863</v>
      </c>
      <c r="S77" s="4">
        <f>Q77/B$17</f>
        <v>5490.427230180504</v>
      </c>
      <c r="T77" s="4">
        <f>B$9-S77</f>
        <v>1018.572769819496</v>
      </c>
    </row>
    <row r="78" spans="1:20" x14ac:dyDescent="0.3">
      <c r="B78" t="s">
        <v>86</v>
      </c>
      <c r="C78" s="4">
        <f>$D$26*C$21</f>
        <v>112419.144</v>
      </c>
      <c r="D78" s="7">
        <v>0.1666681492155834</v>
      </c>
      <c r="E78" s="7">
        <v>0.83333481588225</v>
      </c>
      <c r="F78" s="7">
        <v>0</v>
      </c>
      <c r="G78" s="4">
        <f t="shared" si="8"/>
        <v>18736.690666880157</v>
      </c>
      <c r="H78" s="4">
        <f t="shared" si="9"/>
        <v>93682.786666880143</v>
      </c>
      <c r="I78" s="4">
        <f t="shared" si="10"/>
        <v>0</v>
      </c>
      <c r="J78" s="4">
        <f>G78*C$14+H78*C$15+I78*C$16</f>
        <v>208290.72033721264</v>
      </c>
      <c r="K78" s="4">
        <f t="shared" si="11"/>
        <v>112419.4773337603</v>
      </c>
      <c r="L78" s="23">
        <v>0</v>
      </c>
      <c r="M78" s="4">
        <f t="shared" si="12"/>
        <v>208290.72033721264</v>
      </c>
      <c r="N78" s="4">
        <f>MIN($D$30*C$11,$D$28*C$12*C$11,C$7)</f>
        <v>230592.8480264706</v>
      </c>
      <c r="O78" s="4">
        <f>N78/Supuestos!$B$14*C$14</f>
        <v>287832.7185313747</v>
      </c>
      <c r="P78" s="4">
        <f>N78*C$16-O78</f>
        <v>247696.11172530067</v>
      </c>
      <c r="Q78" s="4">
        <f>2431710.05204561*MIN(1,$D$30/10980.6118107843)</f>
        <v>2431710.0520456098</v>
      </c>
      <c r="R78" s="4">
        <f t="shared" si="13"/>
        <v>2679406.1637709104</v>
      </c>
      <c r="S78" s="4">
        <f>Q78/C$17</f>
        <v>5490.4268504077891</v>
      </c>
      <c r="T78" s="4">
        <f>C$9-S78</f>
        <v>1143.5731495922109</v>
      </c>
    </row>
    <row r="79" spans="1:20" x14ac:dyDescent="0.3">
      <c r="B79" t="s">
        <v>87</v>
      </c>
      <c r="C79" s="4">
        <f>$D$26*D$21</f>
        <v>113460.06200000001</v>
      </c>
      <c r="D79" s="7">
        <v>0.1290322580645161</v>
      </c>
      <c r="E79" s="7">
        <v>0.87096774193548387</v>
      </c>
      <c r="F79" s="7">
        <v>0</v>
      </c>
      <c r="G79" s="4">
        <f t="shared" si="8"/>
        <v>14640.007999999998</v>
      </c>
      <c r="H79" s="4">
        <f t="shared" si="9"/>
        <v>98820.054000000004</v>
      </c>
      <c r="I79" s="4">
        <f t="shared" si="10"/>
        <v>0</v>
      </c>
      <c r="J79" s="4">
        <f>G79*D$14+H79*D$15+I79*D$16</f>
        <v>216450.32227880001</v>
      </c>
      <c r="K79" s="4">
        <f t="shared" si="11"/>
        <v>113460.06200000001</v>
      </c>
      <c r="L79" s="23">
        <v>0</v>
      </c>
      <c r="M79" s="4">
        <f t="shared" si="12"/>
        <v>216450.32227880001</v>
      </c>
      <c r="N79" s="4">
        <f>MIN($D$30*D$11,$D$28*D$12*D$11,D$7)</f>
        <v>229493</v>
      </c>
      <c r="O79" s="4">
        <f>N79/Supuestos!$B$14*D$14</f>
        <v>290045.68427083333</v>
      </c>
      <c r="P79" s="4">
        <f>N79*D$16-O79</f>
        <v>250272.6349291667</v>
      </c>
      <c r="Q79" s="4">
        <f>2197536.05927338*MIN(1,$D$30/10980.6118107843)</f>
        <v>2197536.0592733799</v>
      </c>
      <c r="R79" s="4">
        <f t="shared" si="13"/>
        <v>2447808.6942025465</v>
      </c>
      <c r="S79" s="4">
        <f>Q79/D$17</f>
        <v>4888.4105069034567</v>
      </c>
      <c r="T79" s="4">
        <f>D$9-S79</f>
        <v>962.58949309654326</v>
      </c>
    </row>
    <row r="80" spans="1:20" x14ac:dyDescent="0.3">
      <c r="B80" t="s">
        <v>88</v>
      </c>
      <c r="C80" s="4">
        <f>$D$26*E$21</f>
        <v>106173.63600000001</v>
      </c>
      <c r="D80" s="7">
        <v>0.16128920856081699</v>
      </c>
      <c r="E80" s="7">
        <v>0.83871079143918292</v>
      </c>
      <c r="F80" s="7">
        <v>0</v>
      </c>
      <c r="G80" s="4">
        <f t="shared" si="8"/>
        <v>17124.661720464268</v>
      </c>
      <c r="H80" s="4">
        <f t="shared" si="9"/>
        <v>89048.974279535731</v>
      </c>
      <c r="I80" s="4">
        <f t="shared" si="10"/>
        <v>0</v>
      </c>
      <c r="J80" s="4">
        <f>G80*E$14+H80*E$15+I80*E$16</f>
        <v>200065.81671398133</v>
      </c>
      <c r="K80" s="4">
        <f t="shared" si="11"/>
        <v>106173.636</v>
      </c>
      <c r="L80" s="23">
        <v>0</v>
      </c>
      <c r="M80" s="4">
        <f t="shared" si="12"/>
        <v>200065.81671398133</v>
      </c>
      <c r="N80" s="4">
        <f>MIN($D$30*E$11,$D$28*E$12*E$11,E$7)</f>
        <v>230592.8480264706</v>
      </c>
      <c r="O80" s="4">
        <f>N80/Supuestos!$B$14*E$14</f>
        <v>291772.01301849354</v>
      </c>
      <c r="P80" s="4">
        <f>N80*E$16-O80</f>
        <v>251827.56691910827</v>
      </c>
      <c r="Q80" s="4">
        <f>2469970.55582272*MIN(1,$D$30/10980.6118107843)</f>
        <v>2469970.5558227198</v>
      </c>
      <c r="R80" s="4">
        <f t="shared" si="13"/>
        <v>2721798.1227418282</v>
      </c>
      <c r="S80" s="4">
        <f>Q80/E$17</f>
        <v>5486.7506849028587</v>
      </c>
      <c r="T80" s="4">
        <f>E$9-S80</f>
        <v>867.24931509714133</v>
      </c>
    </row>
    <row r="81" spans="1:20" x14ac:dyDescent="0.3">
      <c r="B81" t="s">
        <v>89</v>
      </c>
      <c r="C81" s="4">
        <f>$D$26*F$21</f>
        <v>100331.064</v>
      </c>
      <c r="D81" s="7">
        <v>0.13333200439877341</v>
      </c>
      <c r="E81" s="7">
        <v>0.86666799560122665</v>
      </c>
      <c r="F81" s="7">
        <v>0</v>
      </c>
      <c r="G81" s="4">
        <f t="shared" si="8"/>
        <v>13377.341866581615</v>
      </c>
      <c r="H81" s="4">
        <f t="shared" si="9"/>
        <v>86953.722133418385</v>
      </c>
      <c r="I81" s="4">
        <f t="shared" si="10"/>
        <v>0</v>
      </c>
      <c r="J81" s="4">
        <f>G81*F$14+H81*F$15+I81*F$16</f>
        <v>190130.81611553396</v>
      </c>
      <c r="K81" s="4">
        <f t="shared" si="11"/>
        <v>100331.064</v>
      </c>
      <c r="L81" s="23">
        <v>0</v>
      </c>
      <c r="M81" s="4">
        <f t="shared" si="12"/>
        <v>190130.81611553396</v>
      </c>
      <c r="N81" s="4">
        <f>MIN($D$30*F$11,$D$28*F$12*F$11,F$7)</f>
        <v>208228</v>
      </c>
      <c r="O81" s="4">
        <f>N81/Supuestos!$B$14*F$14</f>
        <v>262345.58958333335</v>
      </c>
      <c r="P81" s="4">
        <f>N81*F$16-O81</f>
        <v>225261.9180166666</v>
      </c>
      <c r="Q81" s="4">
        <f>2106915.71437724*MIN(1,$D$30/10980.6118107843)</f>
        <v>2106915.7143772398</v>
      </c>
      <c r="R81" s="4">
        <f t="shared" si="13"/>
        <v>2332177.6323939064</v>
      </c>
      <c r="S81" s="4">
        <f>Q81/F$17</f>
        <v>4723.4967254281801</v>
      </c>
      <c r="T81" s="4">
        <f>F$9-S81</f>
        <v>838.50327457181993</v>
      </c>
    </row>
    <row r="82" spans="1:20" x14ac:dyDescent="0.3">
      <c r="B82" t="s">
        <v>90</v>
      </c>
      <c r="C82" s="4">
        <f>$D$26*G$21</f>
        <v>110545.49159999999</v>
      </c>
      <c r="D82" s="7">
        <v>0.12852344136342261</v>
      </c>
      <c r="E82" s="7">
        <v>0.8689346150598849</v>
      </c>
      <c r="F82" s="7">
        <v>2.5449589308760212E-3</v>
      </c>
      <c r="G82" s="4">
        <f t="shared" si="8"/>
        <v>14207.687007643326</v>
      </c>
      <c r="H82" s="4">
        <f t="shared" si="9"/>
        <v>96056.804190051727</v>
      </c>
      <c r="I82" s="4">
        <f t="shared" si="10"/>
        <v>281.33373611550019</v>
      </c>
      <c r="J82" s="4">
        <f>G82*G$14+H82*G$15+I82*G$16</f>
        <v>210014.23910822376</v>
      </c>
      <c r="K82" s="4">
        <f t="shared" si="11"/>
        <v>110545.82493381055</v>
      </c>
      <c r="L82" s="23">
        <v>0</v>
      </c>
      <c r="M82" s="4">
        <f t="shared" si="12"/>
        <v>210014.23910822376</v>
      </c>
      <c r="N82" s="4">
        <f>MIN($D$30*G$11,$D$28*G$12*G$11,G$7)</f>
        <v>247787</v>
      </c>
      <c r="O82" s="4">
        <f>N82/Supuestos!$B$14*G$14</f>
        <v>312185.80885416671</v>
      </c>
      <c r="P82" s="4">
        <f>N82*G$16-O82</f>
        <v>268057.00904583331</v>
      </c>
      <c r="Q82" s="4">
        <f>1224502.01872863*MIN(1,$D$30/10980.6118107843)</f>
        <v>1224502.0187286299</v>
      </c>
      <c r="R82" s="4">
        <f t="shared" si="13"/>
        <v>1492559.0277744632</v>
      </c>
      <c r="S82" s="4">
        <f>Q82/G$17</f>
        <v>2745.2124621200087</v>
      </c>
      <c r="T82" s="4">
        <f>G$9-S82</f>
        <v>1724.7875378799913</v>
      </c>
    </row>
    <row r="83" spans="1:20" x14ac:dyDescent="0.3">
      <c r="B83" t="s">
        <v>91</v>
      </c>
      <c r="C83" s="4">
        <f>$D$26*H$21</f>
        <v>114635.292</v>
      </c>
      <c r="D83" s="7">
        <v>0.1692526446180061</v>
      </c>
      <c r="E83" s="7">
        <v>0.82023285432647297</v>
      </c>
      <c r="F83" s="7">
        <v>1.051450105552099E-2</v>
      </c>
      <c r="G83" s="4">
        <f t="shared" si="8"/>
        <v>19402.326337557359</v>
      </c>
      <c r="H83" s="4">
        <f t="shared" si="9"/>
        <v>94027.632763708694</v>
      </c>
      <c r="I83" s="4">
        <f t="shared" si="10"/>
        <v>1205.3328987339569</v>
      </c>
      <c r="J83" s="4">
        <f>G83*H$14+H83*H$15+I83*H$16</f>
        <v>208637.57200618333</v>
      </c>
      <c r="K83" s="4">
        <f t="shared" si="11"/>
        <v>114635.29200000002</v>
      </c>
      <c r="L83" s="23">
        <v>0</v>
      </c>
      <c r="M83" s="4">
        <f t="shared" si="12"/>
        <v>208637.57200618333</v>
      </c>
      <c r="N83" s="4">
        <f>MIN($D$30*H$11,$D$28*H$12*H$11,H$7)</f>
        <v>274515.29526960786</v>
      </c>
      <c r="O83" s="4">
        <f>N83/Supuestos!$B$14*H$14</f>
        <v>337167.69234624441</v>
      </c>
      <c r="P83" s="4">
        <f>N83*H$16-O83</f>
        <v>287985.98957123357</v>
      </c>
      <c r="Q83" s="4">
        <f>1187744.00483581*MIN(1,$D$30/10980.6118107843)</f>
        <v>1187744.00483581</v>
      </c>
      <c r="R83" s="4">
        <f t="shared" si="13"/>
        <v>1475729.9944070436</v>
      </c>
      <c r="S83" s="4">
        <f>Q83/H$17</f>
        <v>2745.2133426612349</v>
      </c>
      <c r="T83" s="4">
        <f>H$9-S83</f>
        <v>3377.7866573387651</v>
      </c>
    </row>
    <row r="84" spans="1:20" x14ac:dyDescent="0.3">
      <c r="B84" t="s">
        <v>92</v>
      </c>
      <c r="C84" s="4">
        <f>$D$26*I$21</f>
        <v>109920.9408</v>
      </c>
      <c r="D84" s="7">
        <v>0.13103349981653489</v>
      </c>
      <c r="E84" s="7">
        <v>0.85726415637897524</v>
      </c>
      <c r="F84" s="7">
        <v>1.1699311323586941E-2</v>
      </c>
      <c r="G84" s="4">
        <f t="shared" si="8"/>
        <v>14403.325576150142</v>
      </c>
      <c r="H84" s="4">
        <f t="shared" si="9"/>
        <v>94231.28258329528</v>
      </c>
      <c r="I84" s="4">
        <f t="shared" si="10"/>
        <v>1285.9993074007698</v>
      </c>
      <c r="J84" s="4">
        <f>G84*I$14+H84*I$15+I84*I$16</f>
        <v>194248.14345065804</v>
      </c>
      <c r="K84" s="4">
        <f t="shared" si="11"/>
        <v>109920.6074668462</v>
      </c>
      <c r="L84" s="23">
        <v>0</v>
      </c>
      <c r="M84" s="4">
        <f t="shared" si="12"/>
        <v>194248.14345065804</v>
      </c>
      <c r="N84" s="4">
        <f>MIN($D$30*I$11,$D$28*I$12*I$11,I$7)</f>
        <v>296476.5188911765</v>
      </c>
      <c r="O84" s="4">
        <f>N84/Supuestos!$B$14*I$14</f>
        <v>349008.4520822069</v>
      </c>
      <c r="P84" s="4">
        <f>N84*I$16-O84</f>
        <v>295353.61407587613</v>
      </c>
      <c r="Q84" s="4">
        <f>1128364.95092183*MIN(1,$D$30/10980.6118107843)</f>
        <v>1128364.95092183</v>
      </c>
      <c r="R84" s="4">
        <f t="shared" si="13"/>
        <v>1423718.5649977061</v>
      </c>
      <c r="S84" s="4">
        <f>Q84/I$17</f>
        <v>2745.2131253724306</v>
      </c>
      <c r="T84" s="4">
        <f>I$9-S84</f>
        <v>2842.7868746275694</v>
      </c>
    </row>
    <row r="85" spans="1:20" x14ac:dyDescent="0.3">
      <c r="B85" t="s">
        <v>93</v>
      </c>
      <c r="C85" s="4">
        <f>$D$26*J$21</f>
        <v>119913.75360000001</v>
      </c>
      <c r="D85" s="7">
        <v>0.13204499904097669</v>
      </c>
      <c r="E85" s="7">
        <v>0.85676361604598861</v>
      </c>
      <c r="F85" s="7">
        <v>1.119138491303466E-2</v>
      </c>
      <c r="G85" s="4">
        <f t="shared" si="8"/>
        <v>15834.011479111916</v>
      </c>
      <c r="H85" s="4">
        <f t="shared" si="9"/>
        <v>102737.74114798369</v>
      </c>
      <c r="I85" s="4">
        <f t="shared" si="10"/>
        <v>1342.0009729043959</v>
      </c>
      <c r="J85" s="4">
        <f>G85*J$14+H85*J$15+I85*J$16</f>
        <v>207193.82464170628</v>
      </c>
      <c r="K85" s="4">
        <f t="shared" si="11"/>
        <v>119913.7536</v>
      </c>
      <c r="L85" s="23">
        <v>0</v>
      </c>
      <c r="M85" s="4">
        <f t="shared" si="12"/>
        <v>207193.82464170628</v>
      </c>
      <c r="N85" s="4">
        <f>MIN($D$30*J$11,$D$28*J$12*J$11,J$7)</f>
        <v>296476.5188911765</v>
      </c>
      <c r="O85" s="4">
        <f>N85/Supuestos!$B$14*J$14</f>
        <v>341565.65613920963</v>
      </c>
      <c r="P85" s="4">
        <f>N85*J$16-O85</f>
        <v>288684.1277196533</v>
      </c>
      <c r="Q85" s="4">
        <f>1102971.68335545*MIN(1,$D$30/10980.6118107843)</f>
        <v>1102971.6833554499</v>
      </c>
      <c r="R85" s="4">
        <f t="shared" si="13"/>
        <v>1391655.8110751032</v>
      </c>
      <c r="S85" s="4">
        <f>Q85/J$17</f>
        <v>2745.2130104919361</v>
      </c>
      <c r="T85" s="4">
        <f>J$9-S85</f>
        <v>3924.7869895080639</v>
      </c>
    </row>
    <row r="86" spans="1:20" x14ac:dyDescent="0.3">
      <c r="B86" t="s">
        <v>94</v>
      </c>
      <c r="C86" s="4">
        <f>$D$26*K$21</f>
        <v>116770.85280000002</v>
      </c>
      <c r="D86" s="7">
        <v>0.14507312032382469</v>
      </c>
      <c r="E86" s="7">
        <v>0.84365981279598534</v>
      </c>
      <c r="F86" s="7">
        <v>1.126421229015195E-2</v>
      </c>
      <c r="G86" s="4">
        <f t="shared" si="8"/>
        <v>16940.311978570026</v>
      </c>
      <c r="H86" s="4">
        <f t="shared" si="9"/>
        <v>98514.875813275576</v>
      </c>
      <c r="I86" s="4">
        <f t="shared" si="10"/>
        <v>1315.3316752412845</v>
      </c>
      <c r="J86" s="4">
        <f>G86*K$14+H86*K$15+I86*K$16</f>
        <v>200779.99919903203</v>
      </c>
      <c r="K86" s="4">
        <f t="shared" si="11"/>
        <v>116770.51946708688</v>
      </c>
      <c r="L86" s="23">
        <v>0</v>
      </c>
      <c r="M86" s="4">
        <f t="shared" si="12"/>
        <v>200779.99919903203</v>
      </c>
      <c r="N86" s="4">
        <f>MIN($D$30*K$11,$D$28*K$12*K$11,K$7)</f>
        <v>263534.68345882354</v>
      </c>
      <c r="O86" s="4">
        <f>N86/Supuestos!$B$14*K$14</f>
        <v>303751.17421582108</v>
      </c>
      <c r="P86" s="4">
        <f>N86*K$16-O86</f>
        <v>256760.74403275072</v>
      </c>
      <c r="Q86" s="4">
        <f>1103603.58088095*MIN(1,$D$30/10980.6118107843)</f>
        <v>1103603.58088095</v>
      </c>
      <c r="R86" s="4">
        <f t="shared" si="13"/>
        <v>1360364.3249137006</v>
      </c>
      <c r="S86" s="4">
        <f>Q86/K$17</f>
        <v>2745.2142505931442</v>
      </c>
      <c r="T86" s="4">
        <f>K$9-S86</f>
        <v>3779.7857494068558</v>
      </c>
    </row>
    <row r="87" spans="1:20" x14ac:dyDescent="0.3">
      <c r="B87" t="s">
        <v>95</v>
      </c>
      <c r="C87" s="4">
        <f>$D$26*L$21</f>
        <v>142813.94959999999</v>
      </c>
      <c r="D87" s="7">
        <v>0.16278516111865779</v>
      </c>
      <c r="E87" s="7">
        <v>0.8260231256506132</v>
      </c>
      <c r="F87" s="7">
        <v>1.119171323072901E-2</v>
      </c>
      <c r="G87" s="4">
        <f t="shared" si="8"/>
        <v>23247.991795627873</v>
      </c>
      <c r="H87" s="4">
        <f t="shared" si="9"/>
        <v>117967.62503510114</v>
      </c>
      <c r="I87" s="4">
        <f t="shared" si="10"/>
        <v>1598.3327692709859</v>
      </c>
      <c r="J87" s="4">
        <f>G87*L$14+H87*L$15+I87*L$16</f>
        <v>243887.52829712332</v>
      </c>
      <c r="K87" s="4">
        <f t="shared" si="11"/>
        <v>142813.94959999999</v>
      </c>
      <c r="L87" s="23">
        <v>0</v>
      </c>
      <c r="M87" s="4">
        <f t="shared" si="12"/>
        <v>243887.52829712332</v>
      </c>
      <c r="N87" s="4">
        <f>MIN($D$30*L$11,$D$28*L$12*L$11,L$7)</f>
        <v>285495.90708039218</v>
      </c>
      <c r="O87" s="4">
        <f>N87/Supuestos!$B$14*L$14</f>
        <v>329242.20700906479</v>
      </c>
      <c r="P87" s="4">
        <f>N87*L$16-O87</f>
        <v>278321.6328487178</v>
      </c>
      <c r="Q87" s="4">
        <f>1104289.45711356*MIN(1,$D$30/10980.6118107843)</f>
        <v>1104289.4571135601</v>
      </c>
      <c r="R87" s="4">
        <f t="shared" si="13"/>
        <v>1382611.0899622778</v>
      </c>
      <c r="S87" s="4">
        <f>Q87/L$17</f>
        <v>2745.2131882701738</v>
      </c>
      <c r="T87" s="4">
        <f>L$9-S87</f>
        <v>3724.7868117298262</v>
      </c>
    </row>
    <row r="88" spans="1:20" x14ac:dyDescent="0.3">
      <c r="B88" t="s">
        <v>96</v>
      </c>
      <c r="C88" s="4">
        <f>$D$26*M$21</f>
        <v>126521.90400000001</v>
      </c>
      <c r="D88" s="7">
        <v>0.13437715706886291</v>
      </c>
      <c r="E88" s="7">
        <v>0.86404472476459959</v>
      </c>
      <c r="F88" s="7">
        <v>1.578118166537572E-3</v>
      </c>
      <c r="G88" s="4">
        <f t="shared" si="8"/>
        <v>17001.653766459596</v>
      </c>
      <c r="H88" s="4">
        <f t="shared" si="9"/>
        <v>109320.58371837311</v>
      </c>
      <c r="I88" s="4">
        <f t="shared" si="10"/>
        <v>199.66651516732273</v>
      </c>
      <c r="J88" s="4">
        <f>G88*M$14+H88*M$15+I88*M$16</f>
        <v>218252.91166467324</v>
      </c>
      <c r="K88" s="4">
        <f t="shared" si="11"/>
        <v>126521.90400000002</v>
      </c>
      <c r="L88" s="23">
        <v>0</v>
      </c>
      <c r="M88" s="4">
        <f t="shared" si="12"/>
        <v>218252.91166467324</v>
      </c>
      <c r="N88" s="4">
        <f>MIN($D$30*M$11,$D$28*M$12*M$11,M$7)</f>
        <v>252554.07164803921</v>
      </c>
      <c r="O88" s="4">
        <f>N88/Supuestos!$B$14*M$14</f>
        <v>291226.41386914527</v>
      </c>
      <c r="P88" s="4">
        <f>N88*M$16-O88</f>
        <v>246208.65059788217</v>
      </c>
      <c r="Q88" s="4">
        <f>1104234.98318894*MIN(1,$D$30/10980.6118107843)</f>
        <v>1104234.98318894</v>
      </c>
      <c r="R88" s="4">
        <f t="shared" si="13"/>
        <v>1350443.6337868222</v>
      </c>
      <c r="S88" s="4">
        <f>Q88/M$17</f>
        <v>2745.2142581268395</v>
      </c>
      <c r="T88" s="4">
        <f>M$9-S88</f>
        <v>3743.7857418731605</v>
      </c>
    </row>
    <row r="89" spans="1:20" x14ac:dyDescent="0.3">
      <c r="B89" s="3" t="s">
        <v>97</v>
      </c>
      <c r="C89" s="9">
        <f>SUM(C77:C88)</f>
        <v>1393628.0276000001</v>
      </c>
      <c r="G89" s="9">
        <f>SUM(G77:G88)</f>
        <v>200415.66875845904</v>
      </c>
      <c r="H89" s="9">
        <f>SUM(H77:H88)</f>
        <v>1185984.3609682107</v>
      </c>
      <c r="I89" s="9">
        <f>SUM(I77:I88)</f>
        <v>7227.9978748342164</v>
      </c>
      <c r="J89" s="9">
        <f>SUM(J77:J88)</f>
        <v>2519359.8322272613</v>
      </c>
      <c r="K89" s="9">
        <f>SUM(K77:K88)</f>
        <v>1393628.0276015038</v>
      </c>
      <c r="M89" s="9">
        <f t="shared" ref="M89:R89" si="14">SUM(M77:M88)</f>
        <v>2519359.8322272613</v>
      </c>
      <c r="N89" s="9">
        <f t="shared" si="14"/>
        <v>3057320.1511294125</v>
      </c>
      <c r="O89" s="9">
        <f t="shared" si="14"/>
        <v>3691794.0952978008</v>
      </c>
      <c r="P89" s="9">
        <f t="shared" si="14"/>
        <v>3149875.7883143621</v>
      </c>
      <c r="Q89" s="9">
        <f t="shared" si="14"/>
        <v>19537111.688864809</v>
      </c>
      <c r="R89" s="9">
        <f t="shared" si="14"/>
        <v>22686987.477179166</v>
      </c>
      <c r="S89" s="4">
        <f>AVERAGE(S77:S88)</f>
        <v>3774.6671362882134</v>
      </c>
      <c r="T89" s="4">
        <f>AVERAGE(T77:T88)</f>
        <v>2329.082863711787</v>
      </c>
    </row>
    <row r="92" spans="1:20" x14ac:dyDescent="0.3">
      <c r="A92" s="1" t="s">
        <v>168</v>
      </c>
    </row>
    <row r="93" spans="1:20" x14ac:dyDescent="0.3">
      <c r="B93" s="2" t="s">
        <v>169</v>
      </c>
      <c r="C93" s="2" t="s">
        <v>170</v>
      </c>
      <c r="D93" s="2" t="s">
        <v>171</v>
      </c>
      <c r="E93" s="2" t="s">
        <v>172</v>
      </c>
      <c r="F93" s="2" t="s">
        <v>173</v>
      </c>
      <c r="G93" s="2" t="s">
        <v>174</v>
      </c>
      <c r="H93" s="2" t="s">
        <v>175</v>
      </c>
      <c r="I93" s="2" t="s">
        <v>176</v>
      </c>
      <c r="J93" s="2" t="s">
        <v>177</v>
      </c>
      <c r="K93" s="2" t="s">
        <v>178</v>
      </c>
      <c r="L93" s="2" t="s">
        <v>179</v>
      </c>
      <c r="M93" s="2" t="s">
        <v>180</v>
      </c>
      <c r="N93" s="2" t="s">
        <v>181</v>
      </c>
      <c r="O93" s="2" t="s">
        <v>182</v>
      </c>
      <c r="P93" s="2" t="s">
        <v>183</v>
      </c>
    </row>
    <row r="94" spans="1:20" x14ac:dyDescent="0.3">
      <c r="B94" t="s">
        <v>184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f>-$C$34</f>
        <v>-21811140</v>
      </c>
      <c r="N94" s="4">
        <f>-$C$36</f>
        <v>-57366036.000000007</v>
      </c>
      <c r="O94" s="4">
        <f>M94</f>
        <v>-21811140</v>
      </c>
      <c r="P94" s="4">
        <f>N94</f>
        <v>-57366036.000000007</v>
      </c>
    </row>
    <row r="95" spans="1:20" x14ac:dyDescent="0.3">
      <c r="B95" s="18">
        <f>Supuestos!$B$25+1-1</f>
        <v>2026</v>
      </c>
      <c r="C95" s="4">
        <f>$C$39*(1+Supuestos!$B$9)^(1-1)</f>
        <v>129404834.83644071</v>
      </c>
      <c r="D95" s="4">
        <f>IF(B95&lt;=Supuestos!$B$26,$C$38*(1+Supuestos!$B$9)^(1-1),0)</f>
        <v>27268065.03974073</v>
      </c>
      <c r="E95" s="4">
        <f t="shared" ref="E95:E114" si="15">C95-D95</f>
        <v>102136769.79669999</v>
      </c>
      <c r="F95" s="4">
        <f>$C$43*(1+Supuestos!$B$9)^(1-1)*(1-Supuestos!$B$11)^(1-1)</f>
        <v>5738298.942409738</v>
      </c>
      <c r="G95" s="4">
        <f>$C$44*(1+Supuestos!$B$9)^(1-1)*(1-Supuestos!$B$12)^(1-1)</f>
        <v>18905822.897649307</v>
      </c>
      <c r="H95" s="4">
        <f>IF(1&lt;=Supuestos!$B$18,$C$42*$C$31*(1+Supuestos!$B$10)^(1-1)*(1-Supuestos!$B$11)^(1-1),0)</f>
        <v>3506266.8471957608</v>
      </c>
      <c r="I95" s="4">
        <f>IF(1&lt;=Supuestos!$B$19,G95*$C$32,0)</f>
        <v>9452911.4488246534</v>
      </c>
      <c r="J95" s="9">
        <f t="shared" ref="J95:J114" si="16">F95+G95-H95-I95</f>
        <v>11684943.544038633</v>
      </c>
      <c r="K95" s="4">
        <f t="shared" ref="K95:K114" si="17">K94+J95</f>
        <v>11684943.544038633</v>
      </c>
      <c r="L95" s="7">
        <f t="shared" ref="L95:L114" si="18">IF(E95&gt;0,J95/E95,0)</f>
        <v>0.1144048668006355</v>
      </c>
      <c r="M95" s="4">
        <f>IF(1&lt;=Supuestos!$B$18,H95-Supuestos!$B$22*$C$26*(1+Supuestos!$B$9)^(1-1),0)</f>
        <v>2913546.8471957608</v>
      </c>
      <c r="N95" s="4">
        <f>IF(1&lt;=Supuestos!$B$19,I95-Supuestos!$B$23*$C$29*(1+Supuestos!$B$9)^(1-1),0)</f>
        <v>7351591.4488246534</v>
      </c>
      <c r="O95" s="4">
        <f t="shared" ref="O95:O114" si="19">O94+M95</f>
        <v>-18897593.152804241</v>
      </c>
      <c r="P95" s="4">
        <f t="shared" ref="P95:P114" si="20">P94+N95</f>
        <v>-50014444.551175356</v>
      </c>
    </row>
    <row r="96" spans="1:20" x14ac:dyDescent="0.3">
      <c r="B96" s="18">
        <f>Supuestos!$B$25+2-1</f>
        <v>2027</v>
      </c>
      <c r="C96" s="4">
        <f>$C$39*(1+Supuestos!$B$9)^(2-1)</f>
        <v>137169124.92662716</v>
      </c>
      <c r="D96" s="4">
        <f>IF(B96&lt;=Supuestos!$B$26,$C$38*(1+Supuestos!$B$9)^(2-1),0)</f>
        <v>28904148.942125175</v>
      </c>
      <c r="E96" s="4">
        <f t="shared" si="15"/>
        <v>108264975.98450199</v>
      </c>
      <c r="F96" s="4">
        <f>$C$43*(1+Supuestos!$B$9)^(2-1)*(1-Supuestos!$B$11)^(2-1)</f>
        <v>6052183.894559551</v>
      </c>
      <c r="G96" s="4">
        <f>$C$44*(1+Supuestos!$B$9)^(2-1)*(1-Supuestos!$B$12)^(2-1)</f>
        <v>19789670.118114412</v>
      </c>
      <c r="H96" s="4">
        <f>IF(2&lt;=Supuestos!$B$18,$C$42*$C$31*(1+Supuestos!$B$10)^(2-1)*(1-Supuestos!$B$11)^(2-1),0)</f>
        <v>3663172.2886077715</v>
      </c>
      <c r="I96" s="4">
        <f>IF(2&lt;=Supuestos!$B$19,G96*$C$32,0)</f>
        <v>9894835.0590572059</v>
      </c>
      <c r="J96" s="9">
        <f t="shared" si="16"/>
        <v>12283846.665008985</v>
      </c>
      <c r="K96" s="4">
        <f t="shared" si="17"/>
        <v>23968790.209047616</v>
      </c>
      <c r="L96" s="7">
        <f t="shared" si="18"/>
        <v>0.11346094665709254</v>
      </c>
      <c r="M96" s="4">
        <f>IF(2&lt;=Supuestos!$B$18,H96-Supuestos!$B$22*$C$26*(1+Supuestos!$B$9)^(2-1),0)</f>
        <v>3034889.0886077713</v>
      </c>
      <c r="N96" s="4">
        <f>IF(2&lt;=Supuestos!$B$19,I96-Supuestos!$B$23*$C$29*(1+Supuestos!$B$9)^(2-1),0)</f>
        <v>7667435.8590572057</v>
      </c>
      <c r="O96" s="4">
        <f t="shared" si="19"/>
        <v>-15862704.064196469</v>
      </c>
      <c r="P96" s="4">
        <f t="shared" si="20"/>
        <v>-42347008.692118153</v>
      </c>
    </row>
    <row r="97" spans="2:16" x14ac:dyDescent="0.3">
      <c r="B97" s="18">
        <f>Supuestos!$B$25+3-1</f>
        <v>2028</v>
      </c>
      <c r="C97" s="4">
        <f>$C$39*(1+Supuestos!$B$9)^(3-1)</f>
        <v>145399272.42222479</v>
      </c>
      <c r="D97" s="4">
        <f>IF(B97&lt;=Supuestos!$B$26,$C$38*(1+Supuestos!$B$9)^(3-1),0)</f>
        <v>30638397.878652688</v>
      </c>
      <c r="E97" s="4">
        <f t="shared" si="15"/>
        <v>114760874.5435721</v>
      </c>
      <c r="F97" s="4">
        <f>$C$43*(1+Supuestos!$B$9)^(3-1)*(1-Supuestos!$B$11)^(3-1)</f>
        <v>6383238.353591959</v>
      </c>
      <c r="G97" s="4">
        <f>$C$44*(1+Supuestos!$B$9)^(3-1)*(1-Supuestos!$B$12)^(3-1)</f>
        <v>20714837.196136262</v>
      </c>
      <c r="H97" s="4">
        <f>IF(3&lt;=Supuestos!$B$18,$C$42*$C$31*(1+Supuestos!$B$10)^(3-1)*(1-Supuestos!$B$11)^(3-1),0)</f>
        <v>3827099.2485229694</v>
      </c>
      <c r="I97" s="4">
        <f>IF(3&lt;=Supuestos!$B$19,G97*$C$32,0)</f>
        <v>10357418.598068131</v>
      </c>
      <c r="J97" s="9">
        <f t="shared" si="16"/>
        <v>12913557.70313712</v>
      </c>
      <c r="K97" s="4">
        <f t="shared" si="17"/>
        <v>36882347.912184738</v>
      </c>
      <c r="L97" s="7">
        <f t="shared" si="18"/>
        <v>0.11252578681102797</v>
      </c>
      <c r="M97" s="4">
        <f>IF(3&lt;=Supuestos!$B$18,H97-Supuestos!$B$22*$C$26*(1+Supuestos!$B$9)^(3-1),0)</f>
        <v>3161119.0565229692</v>
      </c>
      <c r="N97" s="4">
        <f>IF(3&lt;=Supuestos!$B$19,I97-Supuestos!$B$23*$C$29*(1+Supuestos!$B$9)^(3-1),0)</f>
        <v>7996375.4460681304</v>
      </c>
      <c r="O97" s="4">
        <f t="shared" si="19"/>
        <v>-12701585.0076735</v>
      </c>
      <c r="P97" s="4">
        <f t="shared" si="20"/>
        <v>-34350633.246050023</v>
      </c>
    </row>
    <row r="98" spans="2:16" x14ac:dyDescent="0.3">
      <c r="B98" s="18">
        <f>Supuestos!$B$25+4-1</f>
        <v>2029</v>
      </c>
      <c r="C98" s="4">
        <f>$C$39*(1+Supuestos!$B$9)^(4-1)</f>
        <v>154123228.76755831</v>
      </c>
      <c r="D98" s="4">
        <f>IF(B98&lt;=Supuestos!$B$26,$C$38*(1+Supuestos!$B$9)^(4-1),0)</f>
        <v>32476701.751371853</v>
      </c>
      <c r="E98" s="4">
        <f t="shared" si="15"/>
        <v>121646527.01618645</v>
      </c>
      <c r="F98" s="4">
        <f>$C$43*(1+Supuestos!$B$9)^(4-1)*(1-Supuestos!$B$11)^(4-1)</f>
        <v>6732401.4915334396</v>
      </c>
      <c r="G98" s="4">
        <f>$C$44*(1+Supuestos!$B$9)^(4-1)*(1-Supuestos!$B$12)^(4-1)</f>
        <v>21683255.835055638</v>
      </c>
      <c r="H98" s="4">
        <f>IF(4&lt;=Supuestos!$B$18,$C$42*$C$31*(1+Supuestos!$B$10)^(4-1)*(1-Supuestos!$B$11)^(4-1),0)</f>
        <v>3998361.9398943721</v>
      </c>
      <c r="I98" s="4">
        <f>IF(4&lt;=Supuestos!$B$19,G98*$C$32,0)</f>
        <v>10841627.917527819</v>
      </c>
      <c r="J98" s="9">
        <f t="shared" si="16"/>
        <v>13575667.469166888</v>
      </c>
      <c r="K98" s="4">
        <f t="shared" si="17"/>
        <v>50458015.381351627</v>
      </c>
      <c r="L98" s="7">
        <f t="shared" si="18"/>
        <v>0.111599301699427</v>
      </c>
      <c r="M98" s="4">
        <f>IF(4&lt;=Supuestos!$B$18,H98-Supuestos!$B$22*$C$26*(1+Supuestos!$B$9)^(4-1),0)</f>
        <v>3292422.9363743719</v>
      </c>
      <c r="N98" s="4">
        <f>IF(4&lt;=Supuestos!$B$19,I98-Supuestos!$B$23*$C$29*(1+Supuestos!$B$9)^(4-1),0)</f>
        <v>8338922.1764078178</v>
      </c>
      <c r="O98" s="4">
        <f t="shared" si="19"/>
        <v>-9409162.0712991282</v>
      </c>
      <c r="P98" s="4">
        <f t="shared" si="20"/>
        <v>-26011711.069642205</v>
      </c>
    </row>
    <row r="99" spans="2:16" x14ac:dyDescent="0.3">
      <c r="B99" s="18">
        <f>Supuestos!$B$25+5-1</f>
        <v>2030</v>
      </c>
      <c r="C99" s="4">
        <f>$C$39*(1+Supuestos!$B$9)^(5-1)</f>
        <v>163370622.49361181</v>
      </c>
      <c r="D99" s="4">
        <f>IF(B99&lt;=Supuestos!$B$26,$C$38*(1+Supuestos!$B$9)^(5-1),0)</f>
        <v>34425303.856454164</v>
      </c>
      <c r="E99" s="4">
        <f t="shared" si="15"/>
        <v>128945318.63715765</v>
      </c>
      <c r="F99" s="4">
        <f>$C$43*(1+Supuestos!$B$9)^(5-1)*(1-Supuestos!$B$11)^(5-1)</f>
        <v>7100663.8531203195</v>
      </c>
      <c r="G99" s="4">
        <f>$C$44*(1+Supuestos!$B$9)^(5-1)*(1-Supuestos!$B$12)^(5-1)</f>
        <v>22696948.045344487</v>
      </c>
      <c r="H99" s="4">
        <f>IF(5&lt;=Supuestos!$B$18,$C$42*$C$31*(1+Supuestos!$B$10)^(5-1)*(1-Supuestos!$B$11)^(5-1),0)</f>
        <v>4177288.6367046451</v>
      </c>
      <c r="I99" s="4">
        <f>IF(5&lt;=Supuestos!$B$19,G99*$C$32,0)</f>
        <v>11348474.022672243</v>
      </c>
      <c r="J99" s="9">
        <f t="shared" si="16"/>
        <v>14271849.239087917</v>
      </c>
      <c r="K99" s="4">
        <f t="shared" si="17"/>
        <v>64729864.620439544</v>
      </c>
      <c r="L99" s="7">
        <f t="shared" si="18"/>
        <v>0.1106814065832651</v>
      </c>
      <c r="M99" s="4">
        <f>IF(5&lt;=Supuestos!$B$18,H99-Supuestos!$B$22*$C$26*(1+Supuestos!$B$9)^(5-1),0)</f>
        <v>3428993.2929734448</v>
      </c>
      <c r="N99" s="4">
        <f>IF(5&lt;=Supuestos!$B$19,I99-Supuestos!$B$23*$C$29*(1+Supuestos!$B$9)^(5-1),0)</f>
        <v>8695605.9370850436</v>
      </c>
      <c r="O99" s="4">
        <f t="shared" si="19"/>
        <v>-5980168.7783256834</v>
      </c>
      <c r="P99" s="4">
        <f t="shared" si="20"/>
        <v>-17316105.132557161</v>
      </c>
    </row>
    <row r="100" spans="2:16" x14ac:dyDescent="0.3">
      <c r="B100" s="18">
        <f>Supuestos!$B$25+6-1</f>
        <v>2031</v>
      </c>
      <c r="C100" s="4">
        <f>$C$39*(1+Supuestos!$B$9)^(6-1)</f>
        <v>173172859.84322855</v>
      </c>
      <c r="D100" s="4">
        <f>IF(B100&lt;=Supuestos!$B$26,$C$38*(1+Supuestos!$B$9)^(6-1),0)</f>
        <v>36490822.087841421</v>
      </c>
      <c r="E100" s="4">
        <f t="shared" si="15"/>
        <v>136682037.75538713</v>
      </c>
      <c r="F100" s="4">
        <f>$C$43*(1+Supuestos!$B$9)^(6-1)*(1-Supuestos!$B$11)^(6-1)</f>
        <v>7489070.1658860017</v>
      </c>
      <c r="G100" s="4">
        <f>$C$44*(1+Supuestos!$B$9)^(6-1)*(1-Supuestos!$B$12)^(6-1)</f>
        <v>23758030.36646435</v>
      </c>
      <c r="H100" s="4">
        <f>IF(6&lt;=Supuestos!$B$18,$C$42*$C$31*(1+Supuestos!$B$10)^(6-1)*(1-Supuestos!$B$11)^(6-1),0)</f>
        <v>4364222.3031971781</v>
      </c>
      <c r="I100" s="4">
        <f>IF(6&lt;=Supuestos!$B$19,G100*$C$32,0)</f>
        <v>11879015.183232175</v>
      </c>
      <c r="J100" s="9">
        <f t="shared" si="16"/>
        <v>15003863.045921</v>
      </c>
      <c r="K100" s="4">
        <f t="shared" si="17"/>
        <v>79733727.666360542</v>
      </c>
      <c r="L100" s="7">
        <f t="shared" si="18"/>
        <v>0.10977201754024657</v>
      </c>
      <c r="M100" s="4">
        <f>IF(6&lt;=Supuestos!$B$18,H100-Supuestos!$B$22*$C$26*(1+Supuestos!$B$9)^(6-1),0)</f>
        <v>3571029.2388421055</v>
      </c>
      <c r="N100" s="4">
        <f>IF(6&lt;=Supuestos!$B$19,I100-Supuestos!$B$23*$C$29*(1+Supuestos!$B$9)^(6-1),0)</f>
        <v>9066975.0125097428</v>
      </c>
      <c r="O100" s="4">
        <f t="shared" si="19"/>
        <v>-2409139.5394835779</v>
      </c>
      <c r="P100" s="4">
        <f t="shared" si="20"/>
        <v>-8249130.1200474184</v>
      </c>
    </row>
    <row r="101" spans="2:16" x14ac:dyDescent="0.3">
      <c r="B101" s="18">
        <f>Supuestos!$B$25+7-1</f>
        <v>2032</v>
      </c>
      <c r="C101" s="4">
        <f>$C$39*(1+Supuestos!$B$9)^(7-1)</f>
        <v>183563231.43382224</v>
      </c>
      <c r="D101" s="4">
        <f>IF(B101&lt;=Supuestos!$B$26,$C$38*(1+Supuestos!$B$9)^(7-1),0)</f>
        <v>38680271.413111903</v>
      </c>
      <c r="E101" s="4">
        <f t="shared" si="15"/>
        <v>144882960.02071035</v>
      </c>
      <c r="F101" s="4">
        <f>$C$43*(1+Supuestos!$B$9)^(7-1)*(1-Supuestos!$B$11)^(7-1)</f>
        <v>7898722.3039599666</v>
      </c>
      <c r="G101" s="4">
        <f>$C$44*(1+Supuestos!$B$9)^(7-1)*(1-Supuestos!$B$12)^(7-1)</f>
        <v>24868718.286096558</v>
      </c>
      <c r="H101" s="4">
        <f>IF(7&lt;=Supuestos!$B$18,$C$42*$C$31*(1+Supuestos!$B$10)^(7-1)*(1-Supuestos!$B$11)^(7-1),0)</f>
        <v>4559521.251265252</v>
      </c>
      <c r="I101" s="4">
        <f>IF(7&lt;=Supuestos!$B$19,G101*$C$32,0)</f>
        <v>12434359.143048279</v>
      </c>
      <c r="J101" s="9">
        <f t="shared" si="16"/>
        <v>15773560.195742995</v>
      </c>
      <c r="K101" s="4">
        <f t="shared" si="17"/>
        <v>95507287.862103537</v>
      </c>
      <c r="L101" s="7">
        <f t="shared" si="18"/>
        <v>0.10887105145759196</v>
      </c>
      <c r="M101" s="4">
        <f>IF(7&lt;=Supuestos!$B$18,H101-Supuestos!$B$22*$C$26*(1+Supuestos!$B$9)^(7-1),0)</f>
        <v>3718736.6030488755</v>
      </c>
      <c r="N101" s="4">
        <f>IF(7&lt;=Supuestos!$B$19,I101-Supuestos!$B$23*$C$29*(1+Supuestos!$B$9)^(7-1),0)</f>
        <v>9453596.5620824993</v>
      </c>
      <c r="O101" s="4">
        <f t="shared" si="19"/>
        <v>1309597.0635652975</v>
      </c>
      <c r="P101" s="4">
        <f t="shared" si="20"/>
        <v>1204466.4420350809</v>
      </c>
    </row>
    <row r="102" spans="2:16" x14ac:dyDescent="0.3">
      <c r="B102" s="18">
        <f>Supuestos!$B$25+8-1</f>
        <v>2033</v>
      </c>
      <c r="C102" s="4">
        <f>$C$39*(1+Supuestos!$B$9)^(8-1)</f>
        <v>194577025.31985161</v>
      </c>
      <c r="D102" s="4">
        <f>IF(B102&lt;=Supuestos!$B$26,$C$38*(1+Supuestos!$B$9)^(8-1),0)</f>
        <v>0</v>
      </c>
      <c r="E102" s="4">
        <f t="shared" si="15"/>
        <v>194577025.31985161</v>
      </c>
      <c r="F102" s="4">
        <f>$C$43*(1+Supuestos!$B$9)^(8-1)*(1-Supuestos!$B$11)^(8-1)</f>
        <v>8330782.4139865777</v>
      </c>
      <c r="G102" s="4">
        <f>$C$44*(1+Supuestos!$B$9)^(8-1)*(1-Supuestos!$B$12)^(8-1)</f>
        <v>26031330.865971576</v>
      </c>
      <c r="H102" s="4">
        <f>IF(8&lt;=Supuestos!$B$18,$C$42*$C$31*(1+Supuestos!$B$10)^(8-1)*(1-Supuestos!$B$11)^(8-1),0)</f>
        <v>4763559.8272593729</v>
      </c>
      <c r="I102" s="4">
        <f>IF(8&lt;=Supuestos!$B$19,G102*$C$32,0)</f>
        <v>13015665.432985788</v>
      </c>
      <c r="J102" s="9">
        <f t="shared" si="16"/>
        <v>16582888.01971299</v>
      </c>
      <c r="K102" s="4">
        <f t="shared" si="17"/>
        <v>112090175.88181652</v>
      </c>
      <c r="L102" s="7">
        <f t="shared" si="18"/>
        <v>8.5225313689802462E-2</v>
      </c>
      <c r="M102" s="4">
        <f>IF(8&lt;=Supuestos!$B$18,H102-Supuestos!$B$22*$C$26*(1+Supuestos!$B$9)^(8-1),0)</f>
        <v>3872328.1001500133</v>
      </c>
      <c r="N102" s="4">
        <f>IF(8&lt;=Supuestos!$B$19,I102-Supuestos!$B$23*$C$29*(1+Supuestos!$B$9)^(8-1),0)</f>
        <v>9856057.0971620623</v>
      </c>
      <c r="O102" s="4">
        <f t="shared" si="19"/>
        <v>5181925.1637153104</v>
      </c>
      <c r="P102" s="4">
        <f t="shared" si="20"/>
        <v>11060523.539197143</v>
      </c>
    </row>
    <row r="103" spans="2:16" x14ac:dyDescent="0.3">
      <c r="B103" s="18">
        <f>Supuestos!$B$25+9-1</f>
        <v>2034</v>
      </c>
      <c r="C103" s="4">
        <f>$C$39*(1+Supuestos!$B$9)^(9-1)</f>
        <v>206251646.83904269</v>
      </c>
      <c r="D103" s="4">
        <f>IF(B103&lt;=Supuestos!$B$26,$C$38*(1+Supuestos!$B$9)^(9-1),0)</f>
        <v>0</v>
      </c>
      <c r="E103" s="4">
        <f t="shared" si="15"/>
        <v>206251646.83904269</v>
      </c>
      <c r="F103" s="4">
        <f>$C$43*(1+Supuestos!$B$9)^(9-1)*(1-Supuestos!$B$11)^(9-1)</f>
        <v>8786476.212031642</v>
      </c>
      <c r="G103" s="4">
        <f>$C$44*(1+Supuestos!$B$9)^(9-1)*(1-Supuestos!$B$12)^(9-1)</f>
        <v>27248295.583955746</v>
      </c>
      <c r="H103" s="4">
        <f>IF(9&lt;=Supuestos!$B$18,$C$42*$C$31*(1+Supuestos!$B$10)^(9-1)*(1-Supuestos!$B$11)^(9-1),0)</f>
        <v>4976729.1295292284</v>
      </c>
      <c r="I103" s="4">
        <f>IF(9&lt;=Supuestos!$B$19,G103*$C$32,0)</f>
        <v>13624147.791977873</v>
      </c>
      <c r="J103" s="9">
        <f t="shared" si="16"/>
        <v>17433894.874480285</v>
      </c>
      <c r="K103" s="4">
        <f t="shared" si="17"/>
        <v>129524070.75629681</v>
      </c>
      <c r="L103" s="7">
        <f t="shared" si="18"/>
        <v>8.4527300226046542E-2</v>
      </c>
      <c r="M103" s="4">
        <f>IF(9&lt;=Supuestos!$B$18,H103-Supuestos!$B$22*$C$26*(1+Supuestos!$B$9)^(9-1),0)</f>
        <v>4032023.4987933077</v>
      </c>
      <c r="N103" s="4">
        <f>IF(9&lt;=Supuestos!$B$19,I103-Supuestos!$B$23*$C$29*(1+Supuestos!$B$9)^(9-1),0)</f>
        <v>10274962.956004724</v>
      </c>
      <c r="O103" s="4">
        <f t="shared" si="19"/>
        <v>9213948.6625086181</v>
      </c>
      <c r="P103" s="4">
        <f t="shared" si="20"/>
        <v>21335486.495201867</v>
      </c>
    </row>
    <row r="104" spans="2:16" x14ac:dyDescent="0.3">
      <c r="B104" s="18">
        <f>Supuestos!$B$25+10-1</f>
        <v>2035</v>
      </c>
      <c r="C104" s="4">
        <f>$C$39*(1+Supuestos!$B$9)^(10-1)</f>
        <v>218626745.64938524</v>
      </c>
      <c r="D104" s="4">
        <f>IF(B104&lt;=Supuestos!$B$26,$C$38*(1+Supuestos!$B$9)^(10-1),0)</f>
        <v>0</v>
      </c>
      <c r="E104" s="4">
        <f t="shared" si="15"/>
        <v>218626745.64938524</v>
      </c>
      <c r="F104" s="4">
        <f>$C$43*(1+Supuestos!$B$9)^(10-1)*(1-Supuestos!$B$11)^(10-1)</f>
        <v>9267096.4608297721</v>
      </c>
      <c r="G104" s="4">
        <f>$C$44*(1+Supuestos!$B$9)^(10-1)*(1-Supuestos!$B$12)^(10-1)</f>
        <v>28522153.402505677</v>
      </c>
      <c r="H104" s="4">
        <f>IF(10&lt;=Supuestos!$B$18,$C$42*$C$31*(1+Supuestos!$B$10)^(10-1)*(1-Supuestos!$B$11)^(10-1),0)</f>
        <v>5199437.758075662</v>
      </c>
      <c r="I104" s="4">
        <f>IF(10&lt;=Supuestos!$B$19,G104*$C$32,0)</f>
        <v>14261076.701252839</v>
      </c>
      <c r="J104" s="9">
        <f t="shared" si="16"/>
        <v>18328735.404006943</v>
      </c>
      <c r="K104" s="4">
        <f t="shared" si="17"/>
        <v>147852806.16030377</v>
      </c>
      <c r="L104" s="7">
        <f t="shared" si="18"/>
        <v>8.3835741823651305E-2</v>
      </c>
      <c r="M104" s="4">
        <f>IF(10&lt;=Supuestos!$B$18,H104-Supuestos!$B$22*$C$26*(1+Supuestos!$B$9)^(10-1),0)</f>
        <v>4198049.7894955855</v>
      </c>
      <c r="N104" s="4">
        <f>IF(10&lt;=Supuestos!$B$19,I104-Supuestos!$B$23*$C$29*(1+Supuestos!$B$9)^(10-1),0)</f>
        <v>10710940.7751213</v>
      </c>
      <c r="O104" s="4">
        <f t="shared" si="19"/>
        <v>13411998.452004204</v>
      </c>
      <c r="P104" s="4">
        <f t="shared" si="20"/>
        <v>32046427.270323165</v>
      </c>
    </row>
    <row r="105" spans="2:16" x14ac:dyDescent="0.3">
      <c r="B105" s="18">
        <f>Supuestos!$B$25+11-1</f>
        <v>2036</v>
      </c>
      <c r="C105" s="4">
        <f>$C$39*(1+Supuestos!$B$9)^(11-1)</f>
        <v>231744350.3883484</v>
      </c>
      <c r="D105" s="4">
        <f>IF(B105&lt;=Supuestos!$B$26,$C$38*(1+Supuestos!$B$9)^(11-1),0)</f>
        <v>0</v>
      </c>
      <c r="E105" s="4">
        <f t="shared" si="15"/>
        <v>231744350.3883484</v>
      </c>
      <c r="F105" s="4">
        <f>$C$43*(1+Supuestos!$B$9)^(11-1)*(1-Supuestos!$B$11)^(11-1)</f>
        <v>9774006.6372371633</v>
      </c>
      <c r="G105" s="4">
        <f>$C$44*(1+Supuestos!$B$9)^(11-1)*(1-Supuestos!$B$12)^(11-1)</f>
        <v>29855564.074072819</v>
      </c>
      <c r="H105" s="4">
        <f>IF(11&lt;=Supuestos!$B$18,$C$42*$C$31*(1+Supuestos!$B$10)^(11-1)*(1-Supuestos!$B$11)^(11-1),0)</f>
        <v>5432112.597749548</v>
      </c>
      <c r="I105" s="4">
        <f>IF(11&lt;=Supuestos!$B$19,G105*$C$32,0)</f>
        <v>14927782.03703641</v>
      </c>
      <c r="J105" s="9">
        <f t="shared" si="16"/>
        <v>19269676.076524027</v>
      </c>
      <c r="K105" s="4">
        <f t="shared" si="17"/>
        <v>167122482.23682779</v>
      </c>
      <c r="L105" s="7">
        <f t="shared" si="18"/>
        <v>8.3150575382884784E-2</v>
      </c>
      <c r="M105" s="4">
        <f>IF(11&lt;=Supuestos!$B$18,H105-Supuestos!$B$22*$C$26*(1+Supuestos!$B$9)^(11-1),0)</f>
        <v>4370641.3510546675</v>
      </c>
      <c r="N105" s="4">
        <f>IF(11&lt;=Supuestos!$B$19,I105-Supuestos!$B$23*$C$29*(1+Supuestos!$B$9)^(11-1),0)</f>
        <v>11164637.955336979</v>
      </c>
      <c r="O105" s="4">
        <f t="shared" si="19"/>
        <v>17782639.80305887</v>
      </c>
      <c r="P105" s="4">
        <f t="shared" si="20"/>
        <v>43211065.225660145</v>
      </c>
    </row>
    <row r="106" spans="2:16" x14ac:dyDescent="0.3">
      <c r="B106" s="18">
        <f>Supuestos!$B$25+12-1</f>
        <v>2037</v>
      </c>
      <c r="C106" s="4">
        <f>$C$39*(1+Supuestos!$B$9)^(12-1)</f>
        <v>245649011.41164935</v>
      </c>
      <c r="D106" s="4">
        <f>IF(B106&lt;=Supuestos!$B$26,$C$38*(1+Supuestos!$B$9)^(12-1),0)</f>
        <v>0</v>
      </c>
      <c r="E106" s="4">
        <f t="shared" si="15"/>
        <v>245649011.41164935</v>
      </c>
      <c r="F106" s="4">
        <f>$C$43*(1+Supuestos!$B$9)^(12-1)*(1-Supuestos!$B$11)^(12-1)</f>
        <v>10308644.800294036</v>
      </c>
      <c r="G106" s="4">
        <f>$C$44*(1+Supuestos!$B$9)^(12-1)*(1-Supuestos!$B$12)^(12-1)</f>
        <v>31251311.694535732</v>
      </c>
      <c r="H106" s="4">
        <f>IF(12&lt;=Supuestos!$B$18,$C$42*$C$31*(1+Supuestos!$B$10)^(12-1)*(1-Supuestos!$B$11)^(12-1),0)</f>
        <v>5675199.6364988405</v>
      </c>
      <c r="I106" s="4">
        <f>IF(12&lt;=Supuestos!$B$19,G106*$C$32,0)</f>
        <v>15625655.847267866</v>
      </c>
      <c r="J106" s="9">
        <f t="shared" si="16"/>
        <v>20259101.011063062</v>
      </c>
      <c r="K106" s="4">
        <f t="shared" si="17"/>
        <v>187381583.24789086</v>
      </c>
      <c r="L106" s="7">
        <f t="shared" si="18"/>
        <v>8.247173841507395E-2</v>
      </c>
      <c r="M106" s="4">
        <f>IF(12&lt;=Supuestos!$B$18,H106-Supuestos!$B$22*$C$26*(1+Supuestos!$B$9)^(12-1),0)</f>
        <v>4550040.1150022671</v>
      </c>
      <c r="N106" s="4">
        <f>IF(12&lt;=Supuestos!$B$19,I106-Supuestos!$B$23*$C$29*(1+Supuestos!$B$9)^(12-1),0)</f>
        <v>11636723.120666469</v>
      </c>
      <c r="O106" s="4">
        <f t="shared" si="19"/>
        <v>22332679.918061137</v>
      </c>
      <c r="P106" s="4">
        <f t="shared" si="20"/>
        <v>54847788.346326612</v>
      </c>
    </row>
    <row r="107" spans="2:16" x14ac:dyDescent="0.3">
      <c r="B107" s="18">
        <f>Supuestos!$B$25+13-1</f>
        <v>2038</v>
      </c>
      <c r="C107" s="4">
        <f>$C$39*(1+Supuestos!$B$9)^(13-1)</f>
        <v>260387952.09634832</v>
      </c>
      <c r="D107" s="4">
        <f>IF(B107&lt;=Supuestos!$B$26,$C$38*(1+Supuestos!$B$9)^(13-1),0)</f>
        <v>0</v>
      </c>
      <c r="E107" s="4">
        <f t="shared" si="15"/>
        <v>260387952.09634832</v>
      </c>
      <c r="F107" s="4">
        <f>$C$43*(1+Supuestos!$B$9)^(13-1)*(1-Supuestos!$B$11)^(13-1)</f>
        <v>10872527.670870122</v>
      </c>
      <c r="G107" s="4">
        <f>$C$44*(1+Supuestos!$B$9)^(13-1)*(1-Supuestos!$B$12)^(13-1)</f>
        <v>32712310.516255278</v>
      </c>
      <c r="H107" s="4">
        <f>IF(13&lt;=Supuestos!$B$18,$C$42*$C$31*(1+Supuestos!$B$10)^(13-1)*(1-Supuestos!$B$11)^(13-1),0)</f>
        <v>5929164.8202321632</v>
      </c>
      <c r="I107" s="4">
        <f>IF(13&lt;=Supuestos!$B$19,G107*$C$32,0)</f>
        <v>16356155.258127639</v>
      </c>
      <c r="J107" s="9">
        <f t="shared" si="16"/>
        <v>21299518.108765602</v>
      </c>
      <c r="K107" s="4">
        <f t="shared" si="17"/>
        <v>208681101.35665646</v>
      </c>
      <c r="L107" s="7">
        <f t="shared" si="18"/>
        <v>8.1799169037146499E-2</v>
      </c>
      <c r="M107" s="4">
        <f>IF(13&lt;=Supuestos!$B$18,H107-Supuestos!$B$22*$C$26*(1+Supuestos!$B$9)^(13-1),0)</f>
        <v>4736495.7274457952</v>
      </c>
      <c r="N107" s="4">
        <f>IF(13&lt;=Supuestos!$B$19,I107-Supuestos!$B$23*$C$29*(1+Supuestos!$B$9)^(13-1),0)</f>
        <v>12127886.567930158</v>
      </c>
      <c r="O107" s="4">
        <f t="shared" si="19"/>
        <v>27069175.645506933</v>
      </c>
      <c r="P107" s="4">
        <f t="shared" si="20"/>
        <v>66975674.914256766</v>
      </c>
    </row>
    <row r="108" spans="2:16" x14ac:dyDescent="0.3">
      <c r="B108" s="18">
        <f>Supuestos!$B$25+14-1</f>
        <v>2039</v>
      </c>
      <c r="C108" s="4">
        <f>$C$39*(1+Supuestos!$B$9)^(14-1)</f>
        <v>276011229.22212923</v>
      </c>
      <c r="D108" s="4">
        <f>IF(B108&lt;=Supuestos!$B$26,$C$38*(1+Supuestos!$B$9)^(14-1),0)</f>
        <v>0</v>
      </c>
      <c r="E108" s="4">
        <f t="shared" si="15"/>
        <v>276011229.22212923</v>
      </c>
      <c r="F108" s="4">
        <f>$C$43*(1+Supuestos!$B$9)^(14-1)*(1-Supuestos!$B$11)^(14-1)</f>
        <v>11467254.93446672</v>
      </c>
      <c r="G108" s="4">
        <f>$C$44*(1+Supuestos!$B$9)^(14-1)*(1-Supuestos!$B$12)^(14-1)</f>
        <v>34241611.032890223</v>
      </c>
      <c r="H108" s="4">
        <f>IF(14&lt;=Supuestos!$B$18,$C$42*$C$31*(1+Supuestos!$B$10)^(14-1)*(1-Supuestos!$B$11)^(14-1),0)</f>
        <v>6194494.9459375534</v>
      </c>
      <c r="I108" s="4">
        <f>IF(14&lt;=Supuestos!$B$19,G108*$C$32,0)</f>
        <v>17120805.516445111</v>
      </c>
      <c r="J108" s="9">
        <f t="shared" si="16"/>
        <v>22393565.50497428</v>
      </c>
      <c r="K108" s="4">
        <f t="shared" si="17"/>
        <v>231074666.86163074</v>
      </c>
      <c r="L108" s="7">
        <f t="shared" si="18"/>
        <v>8.1132805966210572E-2</v>
      </c>
      <c r="M108" s="4">
        <f>IF(14&lt;=Supuestos!$B$18,H108-Supuestos!$B$22*$C$26*(1+Supuestos!$B$9)^(14-1),0)</f>
        <v>4930265.707584003</v>
      </c>
      <c r="N108" s="4">
        <f>IF(14&lt;=Supuestos!$B$19,I108-Supuestos!$B$23*$C$29*(1+Supuestos!$B$9)^(14-1),0)</f>
        <v>12638840.70483578</v>
      </c>
      <c r="O108" s="4">
        <f t="shared" si="19"/>
        <v>31999441.353090934</v>
      </c>
      <c r="P108" s="4">
        <f t="shared" si="20"/>
        <v>79614515.619092554</v>
      </c>
    </row>
    <row r="109" spans="2:16" x14ac:dyDescent="0.3">
      <c r="B109" s="18">
        <f>Supuestos!$B$25+15-1</f>
        <v>2040</v>
      </c>
      <c r="C109" s="4">
        <f>$C$39*(1+Supuestos!$B$9)^(15-1)</f>
        <v>292571902.97545695</v>
      </c>
      <c r="D109" s="4">
        <f>IF(B109&lt;=Supuestos!$B$26,$C$38*(1+Supuestos!$B$9)^(15-1),0)</f>
        <v>0</v>
      </c>
      <c r="E109" s="4">
        <f t="shared" si="15"/>
        <v>292571902.97545695</v>
      </c>
      <c r="F109" s="4">
        <f>$C$43*(1+Supuestos!$B$9)^(15-1)*(1-Supuestos!$B$11)^(15-1)</f>
        <v>12094513.779382048</v>
      </c>
      <c r="G109" s="4">
        <f>$C$44*(1+Supuestos!$B$9)^(15-1)*(1-Supuestos!$B$12)^(15-1)</f>
        <v>35842406.348677836</v>
      </c>
      <c r="H109" s="4">
        <f>IF(15&lt;=Supuestos!$B$18,$C$42*$C$31*(1+Supuestos!$B$10)^(15-1)*(1-Supuestos!$B$11)^(15-1),0)</f>
        <v>6471698.5947682587</v>
      </c>
      <c r="I109" s="4">
        <f>IF(15&lt;=Supuestos!$B$19,G109*$C$32,0)</f>
        <v>17921203.174338918</v>
      </c>
      <c r="J109" s="9">
        <f t="shared" si="16"/>
        <v>23544018.358952712</v>
      </c>
      <c r="K109" s="4">
        <f t="shared" si="17"/>
        <v>254618685.22058344</v>
      </c>
      <c r="L109" s="7">
        <f t="shared" si="18"/>
        <v>8.0472588514173743E-2</v>
      </c>
      <c r="M109" s="4">
        <f>IF(15&lt;=Supuestos!$B$18,H109-Supuestos!$B$22*$C$26*(1+Supuestos!$B$9)^(15-1),0)</f>
        <v>5131615.6021134956</v>
      </c>
      <c r="N109" s="4">
        <f>IF(15&lt;=Supuestos!$B$19,I109-Supuestos!$B$23*$C$29*(1+Supuestos!$B$9)^(15-1),0)</f>
        <v>13170320.474033028</v>
      </c>
      <c r="O109" s="4">
        <f t="shared" si="19"/>
        <v>37131056.955204427</v>
      </c>
      <c r="P109" s="4">
        <f t="shared" si="20"/>
        <v>92784836.093125582</v>
      </c>
    </row>
    <row r="110" spans="2:16" x14ac:dyDescent="0.3">
      <c r="B110" s="18">
        <f>Supuestos!$B$25+16-1</f>
        <v>2041</v>
      </c>
      <c r="C110" s="4">
        <f>$C$39*(1+Supuestos!$B$9)^(16-1)</f>
        <v>310126217.15398449</v>
      </c>
      <c r="D110" s="4">
        <f>IF(B110&lt;=Supuestos!$B$26,$C$38*(1+Supuestos!$B$9)^(16-1),0)</f>
        <v>0</v>
      </c>
      <c r="E110" s="4">
        <f t="shared" si="15"/>
        <v>310126217.15398449</v>
      </c>
      <c r="F110" s="4">
        <f>$C$43*(1+Supuestos!$B$9)^(16-1)*(1-Supuestos!$B$11)^(16-1)</f>
        <v>12756083.683114251</v>
      </c>
      <c r="G110" s="4">
        <f>$C$44*(1+Supuestos!$B$9)^(16-1)*(1-Supuestos!$B$12)^(16-1)</f>
        <v>37518038.845478542</v>
      </c>
      <c r="H110" s="4">
        <f>IF(16&lt;=Supuestos!$B$18,$C$42*$C$31*(1+Supuestos!$B$10)^(16-1)*(1-Supuestos!$B$11)^(16-1),0)</f>
        <v>0</v>
      </c>
      <c r="I110" s="4">
        <f>IF(16&lt;=Supuestos!$B$19,G110*$C$32,0)</f>
        <v>0</v>
      </c>
      <c r="J110" s="9">
        <f t="shared" si="16"/>
        <v>50274122.528592795</v>
      </c>
      <c r="K110" s="4">
        <f t="shared" si="17"/>
        <v>304892807.74917626</v>
      </c>
      <c r="L110" s="7">
        <f t="shared" si="18"/>
        <v>0.16210858594915434</v>
      </c>
      <c r="M110" s="4">
        <f>IF(16&lt;=Supuestos!$B$18,H110-Supuestos!$B$22*$C$26*(1+Supuestos!$B$9)^(16-1),0)</f>
        <v>0</v>
      </c>
      <c r="N110" s="4">
        <f>IF(16&lt;=Supuestos!$B$19,I110-Supuestos!$B$23*$C$29*(1+Supuestos!$B$9)^(16-1),0)</f>
        <v>0</v>
      </c>
      <c r="O110" s="4">
        <f t="shared" si="19"/>
        <v>37131056.955204427</v>
      </c>
      <c r="P110" s="4">
        <f t="shared" si="20"/>
        <v>92784836.093125582</v>
      </c>
    </row>
    <row r="111" spans="2:16" x14ac:dyDescent="0.3">
      <c r="B111" s="18">
        <f>Supuestos!$B$25+17-1</f>
        <v>2042</v>
      </c>
      <c r="C111" s="4">
        <f>$C$39*(1+Supuestos!$B$9)^(17-1)</f>
        <v>328733790.18322349</v>
      </c>
      <c r="D111" s="4">
        <f>IF(B111&lt;=Supuestos!$B$26,$C$38*(1+Supuestos!$B$9)^(17-1),0)</f>
        <v>0</v>
      </c>
      <c r="E111" s="4">
        <f t="shared" si="15"/>
        <v>328733790.18322349</v>
      </c>
      <c r="F111" s="4">
        <f>$C$43*(1+Supuestos!$B$9)^(17-1)*(1-Supuestos!$B$11)^(17-1)</f>
        <v>13453841.460580597</v>
      </c>
      <c r="G111" s="4">
        <f>$C$44*(1+Supuestos!$B$9)^(17-1)*(1-Supuestos!$B$12)^(17-1)</f>
        <v>39272007.161504649</v>
      </c>
      <c r="H111" s="4">
        <f>IF(17&lt;=Supuestos!$B$18,$C$42*$C$31*(1+Supuestos!$B$10)^(17-1)*(1-Supuestos!$B$11)^(17-1),0)</f>
        <v>0</v>
      </c>
      <c r="I111" s="4">
        <f>IF(17&lt;=Supuestos!$B$19,G111*$C$32,0)</f>
        <v>0</v>
      </c>
      <c r="J111" s="9">
        <f t="shared" si="16"/>
        <v>52725848.622085243</v>
      </c>
      <c r="K111" s="4">
        <f t="shared" si="17"/>
        <v>357618656.37126148</v>
      </c>
      <c r="L111" s="7">
        <f t="shared" si="18"/>
        <v>0.16039071795052737</v>
      </c>
      <c r="M111" s="4">
        <f>IF(17&lt;=Supuestos!$B$18,H111-Supuestos!$B$22*$C$26*(1+Supuestos!$B$9)^(17-1),0)</f>
        <v>0</v>
      </c>
      <c r="N111" s="4">
        <f>IF(17&lt;=Supuestos!$B$19,I111-Supuestos!$B$23*$C$29*(1+Supuestos!$B$9)^(17-1),0)</f>
        <v>0</v>
      </c>
      <c r="O111" s="4">
        <f t="shared" si="19"/>
        <v>37131056.955204427</v>
      </c>
      <c r="P111" s="4">
        <f t="shared" si="20"/>
        <v>92784836.093125582</v>
      </c>
    </row>
    <row r="112" spans="2:16" x14ac:dyDescent="0.3">
      <c r="B112" s="18">
        <f>Supuestos!$B$25+18-1</f>
        <v>2043</v>
      </c>
      <c r="C112" s="4">
        <f>$C$39*(1+Supuestos!$B$9)^(18-1)</f>
        <v>348457817.59421694</v>
      </c>
      <c r="D112" s="4">
        <f>IF(B112&lt;=Supuestos!$B$26,$C$38*(1+Supuestos!$B$9)^(18-1),0)</f>
        <v>0</v>
      </c>
      <c r="E112" s="4">
        <f t="shared" si="15"/>
        <v>348457817.59421694</v>
      </c>
      <c r="F112" s="4">
        <f>$C$43*(1+Supuestos!$B$9)^(18-1)*(1-Supuestos!$B$11)^(18-1)</f>
        <v>14189766.588474356</v>
      </c>
      <c r="G112" s="4">
        <f>$C$44*(1+Supuestos!$B$9)^(18-1)*(1-Supuestos!$B$12)^(18-1)</f>
        <v>41107973.496304996</v>
      </c>
      <c r="H112" s="4">
        <f>IF(18&lt;=Supuestos!$B$18,$C$42*$C$31*(1+Supuestos!$B$10)^(18-1)*(1-Supuestos!$B$11)^(18-1),0)</f>
        <v>0</v>
      </c>
      <c r="I112" s="4">
        <f>IF(18&lt;=Supuestos!$B$19,G112*$C$32,0)</f>
        <v>0</v>
      </c>
      <c r="J112" s="9">
        <f t="shared" si="16"/>
        <v>55297740.084779352</v>
      </c>
      <c r="K112" s="4">
        <f t="shared" si="17"/>
        <v>412916396.45604086</v>
      </c>
      <c r="L112" s="7">
        <f t="shared" si="18"/>
        <v>0.15869278085525459</v>
      </c>
      <c r="M112" s="4">
        <f>IF(18&lt;=Supuestos!$B$18,H112-Supuestos!$B$22*$C$26*(1+Supuestos!$B$9)^(18-1),0)</f>
        <v>0</v>
      </c>
      <c r="N112" s="4">
        <f>IF(18&lt;=Supuestos!$B$19,I112-Supuestos!$B$23*$C$29*(1+Supuestos!$B$9)^(18-1),0)</f>
        <v>0</v>
      </c>
      <c r="O112" s="4">
        <f t="shared" si="19"/>
        <v>37131056.955204427</v>
      </c>
      <c r="P112" s="4">
        <f t="shared" si="20"/>
        <v>92784836.093125582</v>
      </c>
    </row>
    <row r="113" spans="1:16" x14ac:dyDescent="0.3">
      <c r="B113" s="18">
        <f>Supuestos!$B$25+19-1</f>
        <v>2044</v>
      </c>
      <c r="C113" s="4">
        <f>$C$39*(1+Supuestos!$B$9)^(19-1)</f>
        <v>369365286.64986992</v>
      </c>
      <c r="D113" s="4">
        <f>IF(B113&lt;=Supuestos!$B$26,$C$38*(1+Supuestos!$B$9)^(19-1),0)</f>
        <v>0</v>
      </c>
      <c r="E113" s="4">
        <f t="shared" si="15"/>
        <v>369365286.64986992</v>
      </c>
      <c r="F113" s="4">
        <f>$C$43*(1+Supuestos!$B$9)^(19-1)*(1-Supuestos!$B$11)^(19-1)</f>
        <v>14965946.820863904</v>
      </c>
      <c r="G113" s="4">
        <f>$C$44*(1+Supuestos!$B$9)^(19-1)*(1-Supuestos!$B$12)^(19-1)</f>
        <v>43029771.257257253</v>
      </c>
      <c r="H113" s="4">
        <f>IF(19&lt;=Supuestos!$B$18,$C$42*$C$31*(1+Supuestos!$B$10)^(19-1)*(1-Supuestos!$B$11)^(19-1),0)</f>
        <v>0</v>
      </c>
      <c r="I113" s="4">
        <f>IF(19&lt;=Supuestos!$B$19,G113*$C$32,0)</f>
        <v>0</v>
      </c>
      <c r="J113" s="9">
        <f t="shared" si="16"/>
        <v>57995718.078121156</v>
      </c>
      <c r="K113" s="4">
        <f t="shared" si="17"/>
        <v>470912114.53416204</v>
      </c>
      <c r="L113" s="7">
        <f t="shared" si="18"/>
        <v>0.15701453323927722</v>
      </c>
      <c r="M113" s="4">
        <f>IF(19&lt;=Supuestos!$B$18,H113-Supuestos!$B$22*$C$26*(1+Supuestos!$B$9)^(19-1),0)</f>
        <v>0</v>
      </c>
      <c r="N113" s="4">
        <f>IF(19&lt;=Supuestos!$B$19,I113-Supuestos!$B$23*$C$29*(1+Supuestos!$B$9)^(19-1),0)</f>
        <v>0</v>
      </c>
      <c r="O113" s="4">
        <f t="shared" si="19"/>
        <v>37131056.955204427</v>
      </c>
      <c r="P113" s="4">
        <f t="shared" si="20"/>
        <v>92784836.093125582</v>
      </c>
    </row>
    <row r="114" spans="1:16" x14ac:dyDescent="0.3">
      <c r="B114" s="18">
        <f>Supuestos!$B$25+20-1</f>
        <v>2045</v>
      </c>
      <c r="C114" s="4">
        <f>$C$39*(1+Supuestos!$B$9)^(20-1)</f>
        <v>391527203.84886217</v>
      </c>
      <c r="D114" s="4">
        <f>IF(B114&lt;=Supuestos!$B$26,$C$38*(1+Supuestos!$B$9)^(20-1),0)</f>
        <v>0</v>
      </c>
      <c r="E114" s="4">
        <f t="shared" si="15"/>
        <v>391527203.84886217</v>
      </c>
      <c r="F114" s="4">
        <f>$C$43*(1+Supuestos!$B$9)^(20-1)*(1-Supuestos!$B$11)^(20-1)</f>
        <v>15784584.111965161</v>
      </c>
      <c r="G114" s="4">
        <f>$C$44*(1+Supuestos!$B$9)^(20-1)*(1-Supuestos!$B$12)^(20-1)</f>
        <v>45041413.063534044</v>
      </c>
      <c r="H114" s="4">
        <f>IF(20&lt;=Supuestos!$B$18,$C$42*$C$31*(1+Supuestos!$B$10)^(20-1)*(1-Supuestos!$B$11)^(20-1),0)</f>
        <v>0</v>
      </c>
      <c r="I114" s="4">
        <f>IF(20&lt;=Supuestos!$B$19,G114*$C$32,0)</f>
        <v>0</v>
      </c>
      <c r="J114" s="9">
        <f t="shared" si="16"/>
        <v>60825997.175499201</v>
      </c>
      <c r="K114" s="4">
        <f t="shared" si="17"/>
        <v>531738111.70966125</v>
      </c>
      <c r="L114" s="7">
        <f t="shared" si="18"/>
        <v>0.15535573665777597</v>
      </c>
      <c r="M114" s="4">
        <f>IF(20&lt;=Supuestos!$B$18,H114-Supuestos!$B$22*$C$26*(1+Supuestos!$B$9)^(20-1),0)</f>
        <v>0</v>
      </c>
      <c r="N114" s="4">
        <f>IF(20&lt;=Supuestos!$B$19,I114-Supuestos!$B$23*$C$29*(1+Supuestos!$B$9)^(20-1),0)</f>
        <v>0</v>
      </c>
      <c r="O114" s="4">
        <f t="shared" si="19"/>
        <v>37131056.955204427</v>
      </c>
      <c r="P114" s="4">
        <f t="shared" si="20"/>
        <v>92784836.093125582</v>
      </c>
    </row>
    <row r="117" spans="1:16" x14ac:dyDescent="0.3">
      <c r="A117" s="1" t="s">
        <v>185</v>
      </c>
    </row>
    <row r="118" spans="1:16" x14ac:dyDescent="0.3">
      <c r="B118" s="2" t="s">
        <v>169</v>
      </c>
      <c r="C118" s="2" t="s">
        <v>170</v>
      </c>
      <c r="D118" s="2" t="s">
        <v>171</v>
      </c>
      <c r="E118" s="2" t="s">
        <v>172</v>
      </c>
      <c r="F118" s="2" t="s">
        <v>173</v>
      </c>
      <c r="G118" s="2" t="s">
        <v>174</v>
      </c>
      <c r="H118" s="2" t="s">
        <v>175</v>
      </c>
      <c r="I118" s="2" t="s">
        <v>176</v>
      </c>
      <c r="J118" s="2" t="s">
        <v>177</v>
      </c>
      <c r="K118" s="2" t="s">
        <v>178</v>
      </c>
      <c r="L118" s="2" t="s">
        <v>179</v>
      </c>
      <c r="M118" s="2" t="s">
        <v>180</v>
      </c>
      <c r="N118" s="2" t="s">
        <v>181</v>
      </c>
      <c r="O118" s="2" t="s">
        <v>182</v>
      </c>
      <c r="P118" s="2" t="s">
        <v>183</v>
      </c>
    </row>
    <row r="119" spans="1:16" x14ac:dyDescent="0.3">
      <c r="B119" t="s">
        <v>184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f>-$D$34</f>
        <v>-9576025.875</v>
      </c>
      <c r="N119" s="4">
        <f>-$D$36</f>
        <v>-57366036.000000007</v>
      </c>
      <c r="O119" s="4">
        <f>M119</f>
        <v>-9576025.875</v>
      </c>
      <c r="P119" s="4">
        <f>N119</f>
        <v>-57366036.000000007</v>
      </c>
    </row>
    <row r="120" spans="1:16" x14ac:dyDescent="0.3">
      <c r="B120" s="18">
        <f>Supuestos!$B$25+1-1</f>
        <v>2026</v>
      </c>
      <c r="C120" s="4">
        <f>$D$39*(1+Supuestos!$B$9)^(1-1)</f>
        <v>129404834.83644071</v>
      </c>
      <c r="D120" s="4">
        <f>IF(B120&lt;=Supuestos!$B$26,$D$38*(1+Supuestos!$B$9)^(1-1),0)</f>
        <v>27268065.03974073</v>
      </c>
      <c r="E120" s="4">
        <f t="shared" ref="E120:E139" si="21">C120-D120</f>
        <v>102136769.79669999</v>
      </c>
      <c r="F120" s="4">
        <f>$D$43*(1+Supuestos!$B$9)^(1-1)*(1-Supuestos!$B$11)^(1-1)</f>
        <v>2519359.8322272613</v>
      </c>
      <c r="G120" s="4">
        <f>$D$44*(1+Supuestos!$B$9)^(1-1)*(1-Supuestos!$B$12)^(1-1)</f>
        <v>18905822.897649307</v>
      </c>
      <c r="H120" s="4">
        <f>IF(1&lt;=Supuestos!$B$18,$D$42*$D$31*(1+Supuestos!$B$10)^(1-1)*(1-Supuestos!$B$11)^(1-1),0)</f>
        <v>1539401.5192886211</v>
      </c>
      <c r="I120" s="4">
        <f>IF(1&lt;=Supuestos!$B$19,G120*$D$32,0)</f>
        <v>9452911.4488246534</v>
      </c>
      <c r="J120" s="9">
        <f t="shared" ref="J120:J139" si="22">F120+G120-H120-I120</f>
        <v>10432869.761763291</v>
      </c>
      <c r="K120" s="4">
        <f t="shared" ref="K120:K139" si="23">K119+J120</f>
        <v>10432869.761763291</v>
      </c>
      <c r="L120" s="7">
        <f t="shared" ref="L120:L139" si="24">IF(E120&gt;0,J120/E120,0)</f>
        <v>0.10214607121930319</v>
      </c>
      <c r="M120" s="4">
        <f>IF(1&lt;=Supuestos!$B$18,H120-Supuestos!$B$22*$D$26*(1+Supuestos!$B$9)^(1-1),0)</f>
        <v>1279172.0192886211</v>
      </c>
      <c r="N120" s="4">
        <f>IF(1&lt;=Supuestos!$B$19,I120-Supuestos!$B$23*$D$29*(1+Supuestos!$B$9)^(1-1),0)</f>
        <v>7351591.4488246534</v>
      </c>
      <c r="O120" s="4">
        <f t="shared" ref="O120:O139" si="25">O119+M120</f>
        <v>-8296853.8557113791</v>
      </c>
      <c r="P120" s="4">
        <f t="shared" ref="P120:P139" si="26">P119+N120</f>
        <v>-50014444.551175356</v>
      </c>
    </row>
    <row r="121" spans="1:16" x14ac:dyDescent="0.3">
      <c r="B121" s="18">
        <f>Supuestos!$B$25+2-1</f>
        <v>2027</v>
      </c>
      <c r="C121" s="4">
        <f>$D$39*(1+Supuestos!$B$9)^(2-1)</f>
        <v>137169124.92662716</v>
      </c>
      <c r="D121" s="4">
        <f>IF(B121&lt;=Supuestos!$B$26,$D$38*(1+Supuestos!$B$9)^(2-1),0)</f>
        <v>28904148.942125175</v>
      </c>
      <c r="E121" s="4">
        <f t="shared" si="21"/>
        <v>108264975.98450199</v>
      </c>
      <c r="F121" s="4">
        <f>$D$43*(1+Supuestos!$B$9)^(2-1)*(1-Supuestos!$B$11)^(2-1)</f>
        <v>2657168.8150500925</v>
      </c>
      <c r="G121" s="4">
        <f>$D$44*(1+Supuestos!$B$9)^(2-1)*(1-Supuestos!$B$12)^(2-1)</f>
        <v>19789670.118114412</v>
      </c>
      <c r="H121" s="4">
        <f>IF(2&lt;=Supuestos!$B$18,$D$42*$D$31*(1+Supuestos!$B$10)^(2-1)*(1-Supuestos!$B$11)^(2-1),0)</f>
        <v>1608289.7372767869</v>
      </c>
      <c r="I121" s="4">
        <f>IF(2&lt;=Supuestos!$B$19,G121*$D$32,0)</f>
        <v>9894835.0590572059</v>
      </c>
      <c r="J121" s="9">
        <f t="shared" si="22"/>
        <v>10943714.136830509</v>
      </c>
      <c r="K121" s="4">
        <f t="shared" si="23"/>
        <v>21376583.898593798</v>
      </c>
      <c r="L121" s="7">
        <f t="shared" si="24"/>
        <v>0.10108268197830746</v>
      </c>
      <c r="M121" s="4">
        <f>IF(2&lt;=Supuestos!$B$18,H121-Supuestos!$B$22*$D$26*(1+Supuestos!$B$9)^(2-1),0)</f>
        <v>1332446.4672767869</v>
      </c>
      <c r="N121" s="4">
        <f>IF(2&lt;=Supuestos!$B$19,I121-Supuestos!$B$23*$D$29*(1+Supuestos!$B$9)^(2-1),0)</f>
        <v>7667435.8590572057</v>
      </c>
      <c r="O121" s="4">
        <f t="shared" si="25"/>
        <v>-6964407.3884345926</v>
      </c>
      <c r="P121" s="4">
        <f t="shared" si="26"/>
        <v>-42347008.692118153</v>
      </c>
    </row>
    <row r="122" spans="1:16" x14ac:dyDescent="0.3">
      <c r="B122" s="18">
        <f>Supuestos!$B$25+3-1</f>
        <v>2028</v>
      </c>
      <c r="C122" s="4">
        <f>$D$39*(1+Supuestos!$B$9)^(3-1)</f>
        <v>145399272.42222479</v>
      </c>
      <c r="D122" s="4">
        <f>IF(B122&lt;=Supuestos!$B$26,$D$38*(1+Supuestos!$B$9)^(3-1),0)</f>
        <v>30638397.878652688</v>
      </c>
      <c r="E122" s="4">
        <f t="shared" si="21"/>
        <v>114760874.5435721</v>
      </c>
      <c r="F122" s="4">
        <f>$D$43*(1+Supuestos!$B$9)^(3-1)*(1-Supuestos!$B$11)^(3-1)</f>
        <v>2802515.9492333331</v>
      </c>
      <c r="G122" s="4">
        <f>$D$44*(1+Supuestos!$B$9)^(3-1)*(1-Supuestos!$B$12)^(3-1)</f>
        <v>20714837.196136262</v>
      </c>
      <c r="H122" s="4">
        <f>IF(3&lt;=Supuestos!$B$18,$D$42*$D$31*(1+Supuestos!$B$10)^(3-1)*(1-Supuestos!$B$11)^(3-1),0)</f>
        <v>1680260.7030199233</v>
      </c>
      <c r="I122" s="4">
        <f>IF(3&lt;=Supuestos!$B$19,G122*$D$32,0)</f>
        <v>10357418.598068131</v>
      </c>
      <c r="J122" s="9">
        <f t="shared" si="22"/>
        <v>11479673.844281541</v>
      </c>
      <c r="K122" s="4">
        <f t="shared" si="23"/>
        <v>32856257.742875338</v>
      </c>
      <c r="L122" s="7">
        <f t="shared" si="24"/>
        <v>0.10003125098112571</v>
      </c>
      <c r="M122" s="4">
        <f>IF(3&lt;=Supuestos!$B$18,H122-Supuestos!$B$22*$D$26*(1+Supuestos!$B$9)^(3-1),0)</f>
        <v>1387866.8368199233</v>
      </c>
      <c r="N122" s="4">
        <f>IF(3&lt;=Supuestos!$B$19,I122-Supuestos!$B$23*$D$29*(1+Supuestos!$B$9)^(3-1),0)</f>
        <v>7996375.4460681304</v>
      </c>
      <c r="O122" s="4">
        <f t="shared" si="25"/>
        <v>-5576540.5516146692</v>
      </c>
      <c r="P122" s="4">
        <f t="shared" si="26"/>
        <v>-34350633.246050023</v>
      </c>
    </row>
    <row r="123" spans="1:16" x14ac:dyDescent="0.3">
      <c r="B123" s="18">
        <f>Supuestos!$B$25+4-1</f>
        <v>2029</v>
      </c>
      <c r="C123" s="4">
        <f>$D$39*(1+Supuestos!$B$9)^(4-1)</f>
        <v>154123228.76755831</v>
      </c>
      <c r="D123" s="4">
        <f>IF(B123&lt;=Supuestos!$B$26,$D$38*(1+Supuestos!$B$9)^(4-1),0)</f>
        <v>32476701.751371853</v>
      </c>
      <c r="E123" s="4">
        <f t="shared" si="21"/>
        <v>121646527.01618645</v>
      </c>
      <c r="F123" s="4">
        <f>$D$43*(1+Supuestos!$B$9)^(4-1)*(1-Supuestos!$B$11)^(4-1)</f>
        <v>2955813.5716563966</v>
      </c>
      <c r="G123" s="4">
        <f>$D$44*(1+Supuestos!$B$9)^(4-1)*(1-Supuestos!$B$12)^(4-1)</f>
        <v>21683255.835055638</v>
      </c>
      <c r="H123" s="4">
        <f>IF(4&lt;=Supuestos!$B$18,$D$42*$D$31*(1+Supuestos!$B$10)^(4-1)*(1-Supuestos!$B$11)^(4-1),0)</f>
        <v>1755452.3694800651</v>
      </c>
      <c r="I123" s="4">
        <f>IF(4&lt;=Supuestos!$B$19,G123*$D$32,0)</f>
        <v>10841627.917527819</v>
      </c>
      <c r="J123" s="9">
        <f t="shared" si="22"/>
        <v>12041989.119704148</v>
      </c>
      <c r="K123" s="4">
        <f t="shared" si="23"/>
        <v>44898246.862579487</v>
      </c>
      <c r="L123" s="7">
        <f t="shared" si="24"/>
        <v>9.8991639260706754E-2</v>
      </c>
      <c r="M123" s="4">
        <f>IF(4&lt;=Supuestos!$B$18,H123-Supuestos!$B$22*$D$26*(1+Supuestos!$B$9)^(4-1),0)</f>
        <v>1445514.871308065</v>
      </c>
      <c r="N123" s="4">
        <f>IF(4&lt;=Supuestos!$B$19,I123-Supuestos!$B$23*$D$29*(1+Supuestos!$B$9)^(4-1),0)</f>
        <v>8338922.1764078178</v>
      </c>
      <c r="O123" s="4">
        <f t="shared" si="25"/>
        <v>-4131025.6803066041</v>
      </c>
      <c r="P123" s="4">
        <f t="shared" si="26"/>
        <v>-26011711.069642205</v>
      </c>
    </row>
    <row r="124" spans="1:16" x14ac:dyDescent="0.3">
      <c r="B124" s="18">
        <f>Supuestos!$B$25+5-1</f>
        <v>2030</v>
      </c>
      <c r="C124" s="4">
        <f>$D$39*(1+Supuestos!$B$9)^(5-1)</f>
        <v>163370622.49361181</v>
      </c>
      <c r="D124" s="4">
        <f>IF(B124&lt;=Supuestos!$B$26,$D$38*(1+Supuestos!$B$9)^(5-1),0)</f>
        <v>34425303.856454164</v>
      </c>
      <c r="E124" s="4">
        <f t="shared" si="21"/>
        <v>128945318.63715765</v>
      </c>
      <c r="F124" s="4">
        <f>$D$43*(1+Supuestos!$B$9)^(5-1)*(1-Supuestos!$B$11)^(5-1)</f>
        <v>3117496.5740260016</v>
      </c>
      <c r="G124" s="4">
        <f>$D$44*(1+Supuestos!$B$9)^(5-1)*(1-Supuestos!$B$12)^(5-1)</f>
        <v>22696948.045344487</v>
      </c>
      <c r="H124" s="4">
        <f>IF(5&lt;=Supuestos!$B$18,$D$42*$D$31*(1+Supuestos!$B$10)^(5-1)*(1-Supuestos!$B$11)^(5-1),0)</f>
        <v>1834008.8630142978</v>
      </c>
      <c r="I124" s="4">
        <f>IF(5&lt;=Supuestos!$B$19,G124*$D$32,0)</f>
        <v>11348474.022672243</v>
      </c>
      <c r="J124" s="9">
        <f t="shared" si="22"/>
        <v>12631961.733683947</v>
      </c>
      <c r="K124" s="4">
        <f t="shared" si="23"/>
        <v>57530208.596263438</v>
      </c>
      <c r="L124" s="7">
        <f t="shared" si="24"/>
        <v>9.7963709479281916E-2</v>
      </c>
      <c r="M124" s="4">
        <f>IF(5&lt;=Supuestos!$B$18,H124-Supuestos!$B$22*$D$26*(1+Supuestos!$B$9)^(5-1),0)</f>
        <v>1505475.1149519777</v>
      </c>
      <c r="N124" s="4">
        <f>IF(5&lt;=Supuestos!$B$19,I124-Supuestos!$B$23*$D$29*(1+Supuestos!$B$9)^(5-1),0)</f>
        <v>8695605.9370850436</v>
      </c>
      <c r="O124" s="4">
        <f t="shared" si="25"/>
        <v>-2625550.5653546266</v>
      </c>
      <c r="P124" s="4">
        <f t="shared" si="26"/>
        <v>-17316105.132557161</v>
      </c>
    </row>
    <row r="125" spans="1:16" x14ac:dyDescent="0.3">
      <c r="B125" s="18">
        <f>Supuestos!$B$25+6-1</f>
        <v>2031</v>
      </c>
      <c r="C125" s="4">
        <f>$D$39*(1+Supuestos!$B$9)^(6-1)</f>
        <v>173172859.84322855</v>
      </c>
      <c r="D125" s="4">
        <f>IF(B125&lt;=Supuestos!$B$26,$D$38*(1+Supuestos!$B$9)^(6-1),0)</f>
        <v>36490822.087841421</v>
      </c>
      <c r="E125" s="4">
        <f t="shared" si="21"/>
        <v>136682037.75538713</v>
      </c>
      <c r="F125" s="4">
        <f>$D$43*(1+Supuestos!$B$9)^(6-1)*(1-Supuestos!$B$11)^(6-1)</f>
        <v>3288023.6366252243</v>
      </c>
      <c r="G125" s="4">
        <f>$D$44*(1+Supuestos!$B$9)^(6-1)*(1-Supuestos!$B$12)^(6-1)</f>
        <v>23758030.36646435</v>
      </c>
      <c r="H125" s="4">
        <f>IF(6&lt;=Supuestos!$B$18,$D$42*$D$31*(1+Supuestos!$B$10)^(6-1)*(1-Supuestos!$B$11)^(6-1),0)</f>
        <v>1916080.7596341879</v>
      </c>
      <c r="I125" s="4">
        <f>IF(6&lt;=Supuestos!$B$19,G125*$D$32,0)</f>
        <v>11879015.183232175</v>
      </c>
      <c r="J125" s="9">
        <f t="shared" si="22"/>
        <v>13250958.060223209</v>
      </c>
      <c r="K125" s="4">
        <f t="shared" si="23"/>
        <v>70781166.656486645</v>
      </c>
      <c r="L125" s="7">
        <f t="shared" si="24"/>
        <v>9.6947325909332527E-2</v>
      </c>
      <c r="M125" s="4">
        <f>IF(6&lt;=Supuestos!$B$18,H125-Supuestos!$B$22*$D$26*(1+Supuestos!$B$9)^(6-1),0)</f>
        <v>1567834.9866881287</v>
      </c>
      <c r="N125" s="4">
        <f>IF(6&lt;=Supuestos!$B$19,I125-Supuestos!$B$23*$D$29*(1+Supuestos!$B$9)^(6-1),0)</f>
        <v>9066975.0125097428</v>
      </c>
      <c r="O125" s="4">
        <f t="shared" si="25"/>
        <v>-1057715.578666498</v>
      </c>
      <c r="P125" s="4">
        <f t="shared" si="26"/>
        <v>-8249130.1200474184</v>
      </c>
    </row>
    <row r="126" spans="1:16" x14ac:dyDescent="0.3">
      <c r="B126" s="18">
        <f>Supuestos!$B$25+7-1</f>
        <v>2032</v>
      </c>
      <c r="C126" s="4">
        <f>$D$39*(1+Supuestos!$B$9)^(7-1)</f>
        <v>183563231.43382224</v>
      </c>
      <c r="D126" s="4">
        <f>IF(B126&lt;=Supuestos!$B$26,$D$38*(1+Supuestos!$B$9)^(7-1),0)</f>
        <v>38680271.413111903</v>
      </c>
      <c r="E126" s="4">
        <f t="shared" si="21"/>
        <v>144882960.02071035</v>
      </c>
      <c r="F126" s="4">
        <f>$D$43*(1+Supuestos!$B$9)^(7-1)*(1-Supuestos!$B$11)^(7-1)</f>
        <v>3467878.5295486241</v>
      </c>
      <c r="G126" s="4">
        <f>$D$44*(1+Supuestos!$B$9)^(7-1)*(1-Supuestos!$B$12)^(7-1)</f>
        <v>24868718.286096558</v>
      </c>
      <c r="H126" s="4">
        <f>IF(7&lt;=Supuestos!$B$18,$D$42*$D$31*(1+Supuestos!$B$10)^(7-1)*(1-Supuestos!$B$11)^(7-1),0)</f>
        <v>2001825.3736278175</v>
      </c>
      <c r="I126" s="4">
        <f>IF(7&lt;=Supuestos!$B$19,G126*$D$32,0)</f>
        <v>12434359.143048279</v>
      </c>
      <c r="J126" s="9">
        <f t="shared" si="22"/>
        <v>13900412.298969083</v>
      </c>
      <c r="K126" s="4">
        <f t="shared" si="23"/>
        <v>84681578.95545572</v>
      </c>
      <c r="L126" s="7">
        <f t="shared" si="24"/>
        <v>9.5942354414777858E-2</v>
      </c>
      <c r="M126" s="4">
        <f>IF(7&lt;=Supuestos!$B$18,H126-Supuestos!$B$22*$D$26*(1+Supuestos!$B$9)^(7-1),0)</f>
        <v>1632684.8543049945</v>
      </c>
      <c r="N126" s="4">
        <f>IF(7&lt;=Supuestos!$B$19,I126-Supuestos!$B$23*$D$29*(1+Supuestos!$B$9)^(7-1),0)</f>
        <v>9453596.5620824993</v>
      </c>
      <c r="O126" s="4">
        <f t="shared" si="25"/>
        <v>574969.2756384965</v>
      </c>
      <c r="P126" s="4">
        <f t="shared" si="26"/>
        <v>1204466.4420350809</v>
      </c>
    </row>
    <row r="127" spans="1:16" x14ac:dyDescent="0.3">
      <c r="B127" s="18">
        <f>Supuestos!$B$25+8-1</f>
        <v>2033</v>
      </c>
      <c r="C127" s="4">
        <f>$D$39*(1+Supuestos!$B$9)^(8-1)</f>
        <v>194577025.31985161</v>
      </c>
      <c r="D127" s="4">
        <f>IF(B127&lt;=Supuestos!$B$26,$D$38*(1+Supuestos!$B$9)^(8-1),0)</f>
        <v>0</v>
      </c>
      <c r="E127" s="4">
        <f t="shared" si="21"/>
        <v>194577025.31985161</v>
      </c>
      <c r="F127" s="4">
        <f>$D$43*(1+Supuestos!$B$9)^(8-1)*(1-Supuestos!$B$11)^(8-1)</f>
        <v>3657571.4851149344</v>
      </c>
      <c r="G127" s="4">
        <f>$D$44*(1+Supuestos!$B$9)^(8-1)*(1-Supuestos!$B$12)^(8-1)</f>
        <v>26031330.865971576</v>
      </c>
      <c r="H127" s="4">
        <f>IF(8&lt;=Supuestos!$B$18,$D$42*$D$31*(1+Supuestos!$B$10)^(8-1)*(1-Supuestos!$B$11)^(8-1),0)</f>
        <v>2091407.0590976623</v>
      </c>
      <c r="I127" s="4">
        <f>IF(8&lt;=Supuestos!$B$19,G127*$D$32,0)</f>
        <v>13015665.432985788</v>
      </c>
      <c r="J127" s="9">
        <f t="shared" si="22"/>
        <v>14581829.859003061</v>
      </c>
      <c r="K127" s="4">
        <f t="shared" si="23"/>
        <v>99263408.814458787</v>
      </c>
      <c r="L127" s="7">
        <f t="shared" si="24"/>
        <v>7.4941169621814338E-2</v>
      </c>
      <c r="M127" s="4">
        <f>IF(8&lt;=Supuestos!$B$18,H127-Supuestos!$B$22*$D$26*(1+Supuestos!$B$9)^(8-1),0)</f>
        <v>1700118.1086154701</v>
      </c>
      <c r="N127" s="4">
        <f>IF(8&lt;=Supuestos!$B$19,I127-Supuestos!$B$23*$D$29*(1+Supuestos!$B$9)^(8-1),0)</f>
        <v>9856057.0971620623</v>
      </c>
      <c r="O127" s="4">
        <f t="shared" si="25"/>
        <v>2275087.3842539666</v>
      </c>
      <c r="P127" s="4">
        <f t="shared" si="26"/>
        <v>11060523.539197143</v>
      </c>
    </row>
    <row r="128" spans="1:16" x14ac:dyDescent="0.3">
      <c r="B128" s="18">
        <f>Supuestos!$B$25+9-1</f>
        <v>2034</v>
      </c>
      <c r="C128" s="4">
        <f>$D$39*(1+Supuestos!$B$9)^(9-1)</f>
        <v>206251646.83904269</v>
      </c>
      <c r="D128" s="4">
        <f>IF(B128&lt;=Supuestos!$B$26,$D$38*(1+Supuestos!$B$9)^(9-1),0)</f>
        <v>0</v>
      </c>
      <c r="E128" s="4">
        <f t="shared" si="21"/>
        <v>206251646.83904269</v>
      </c>
      <c r="F128" s="4">
        <f>$D$43*(1+Supuestos!$B$9)^(9-1)*(1-Supuestos!$B$11)^(9-1)</f>
        <v>3857640.6453507212</v>
      </c>
      <c r="G128" s="4">
        <f>$D$44*(1+Supuestos!$B$9)^(9-1)*(1-Supuestos!$B$12)^(9-1)</f>
        <v>27248295.583955746</v>
      </c>
      <c r="H128" s="4">
        <f>IF(9&lt;=Supuestos!$B$18,$D$42*$D$31*(1+Supuestos!$B$10)^(9-1)*(1-Supuestos!$B$11)^(9-1),0)</f>
        <v>2184997.5249922825</v>
      </c>
      <c r="I128" s="4">
        <f>IF(9&lt;=Supuestos!$B$19,G128*$D$32,0)</f>
        <v>13624147.791977873</v>
      </c>
      <c r="J128" s="9">
        <f t="shared" si="22"/>
        <v>15296790.91233631</v>
      </c>
      <c r="K128" s="4">
        <f t="shared" si="23"/>
        <v>114560199.72679509</v>
      </c>
      <c r="L128" s="7">
        <f t="shared" si="24"/>
        <v>7.416566678022124E-2</v>
      </c>
      <c r="M128" s="4">
        <f>IF(9&lt;=Supuestos!$B$18,H128-Supuestos!$B$22*$D$26*(1+Supuestos!$B$9)^(9-1),0)</f>
        <v>1770231.2374811587</v>
      </c>
      <c r="N128" s="4">
        <f>IF(9&lt;=Supuestos!$B$19,I128-Supuestos!$B$23*$D$29*(1+Supuestos!$B$9)^(9-1),0)</f>
        <v>10274962.956004724</v>
      </c>
      <c r="O128" s="4">
        <f t="shared" si="25"/>
        <v>4045318.6217351253</v>
      </c>
      <c r="P128" s="4">
        <f t="shared" si="26"/>
        <v>21335486.495201867</v>
      </c>
    </row>
    <row r="129" spans="1:16" x14ac:dyDescent="0.3">
      <c r="B129" s="18">
        <f>Supuestos!$B$25+10-1</f>
        <v>2035</v>
      </c>
      <c r="C129" s="4">
        <f>$D$39*(1+Supuestos!$B$9)^(10-1)</f>
        <v>218626745.64938524</v>
      </c>
      <c r="D129" s="4">
        <f>IF(B129&lt;=Supuestos!$B$26,$D$38*(1+Supuestos!$B$9)^(10-1),0)</f>
        <v>0</v>
      </c>
      <c r="E129" s="4">
        <f t="shared" si="21"/>
        <v>218626745.64938524</v>
      </c>
      <c r="F129" s="4">
        <f>$D$43*(1+Supuestos!$B$9)^(10-1)*(1-Supuestos!$B$11)^(10-1)</f>
        <v>4068653.5886514052</v>
      </c>
      <c r="G129" s="4">
        <f>$D$44*(1+Supuestos!$B$9)^(10-1)*(1-Supuestos!$B$12)^(10-1)</f>
        <v>28522153.402505677</v>
      </c>
      <c r="H129" s="4">
        <f>IF(10&lt;=Supuestos!$B$18,$D$42*$D$31*(1+Supuestos!$B$10)^(10-1)*(1-Supuestos!$B$11)^(10-1),0)</f>
        <v>2282776.1642356873</v>
      </c>
      <c r="I129" s="4">
        <f>IF(10&lt;=Supuestos!$B$19,G129*$D$32,0)</f>
        <v>14261076.701252839</v>
      </c>
      <c r="J129" s="9">
        <f t="shared" si="22"/>
        <v>16046954.125668554</v>
      </c>
      <c r="K129" s="4">
        <f t="shared" si="23"/>
        <v>130607153.85246365</v>
      </c>
      <c r="L129" s="7">
        <f t="shared" si="24"/>
        <v>7.3398861049705597E-2</v>
      </c>
      <c r="M129" s="4">
        <f>IF(10&lt;=Supuestos!$B$18,H129-Supuestos!$B$22*$D$26*(1+Supuestos!$B$9)^(10-1),0)</f>
        <v>1843123.899473896</v>
      </c>
      <c r="N129" s="4">
        <f>IF(10&lt;=Supuestos!$B$19,I129-Supuestos!$B$23*$D$29*(1+Supuestos!$B$9)^(10-1),0)</f>
        <v>10710940.7751213</v>
      </c>
      <c r="O129" s="4">
        <f t="shared" si="25"/>
        <v>5888442.5212090211</v>
      </c>
      <c r="P129" s="4">
        <f t="shared" si="26"/>
        <v>32046427.270323165</v>
      </c>
    </row>
    <row r="130" spans="1:16" x14ac:dyDescent="0.3">
      <c r="B130" s="18">
        <f>Supuestos!$B$25+11-1</f>
        <v>2036</v>
      </c>
      <c r="C130" s="4">
        <f>$D$39*(1+Supuestos!$B$9)^(11-1)</f>
        <v>231744350.3883484</v>
      </c>
      <c r="D130" s="4">
        <f>IF(B130&lt;=Supuestos!$B$26,$D$38*(1+Supuestos!$B$9)^(11-1),0)</f>
        <v>0</v>
      </c>
      <c r="E130" s="4">
        <f t="shared" si="21"/>
        <v>231744350.3883484</v>
      </c>
      <c r="F130" s="4">
        <f>$D$43*(1+Supuestos!$B$9)^(11-1)*(1-Supuestos!$B$11)^(11-1)</f>
        <v>4291208.9399506375</v>
      </c>
      <c r="G130" s="4">
        <f>$D$44*(1+Supuestos!$B$9)^(11-1)*(1-Supuestos!$B$12)^(11-1)</f>
        <v>29855564.074072819</v>
      </c>
      <c r="H130" s="4">
        <f>IF(11&lt;=Supuestos!$B$18,$D$42*$D$31*(1+Supuestos!$B$10)^(11-1)*(1-Supuestos!$B$11)^(11-1),0)</f>
        <v>2384930.3975852346</v>
      </c>
      <c r="I130" s="4">
        <f>IF(11&lt;=Supuestos!$B$19,G130*$D$32,0)</f>
        <v>14927782.03703641</v>
      </c>
      <c r="J130" s="9">
        <f t="shared" si="22"/>
        <v>16834060.579401806</v>
      </c>
      <c r="K130" s="4">
        <f t="shared" si="23"/>
        <v>147441214.43186545</v>
      </c>
      <c r="L130" s="7">
        <f t="shared" si="24"/>
        <v>7.2640651438500764E-2</v>
      </c>
      <c r="M130" s="4">
        <f>IF(11&lt;=Supuestos!$B$18,H130-Supuestos!$B$22*$D$26*(1+Supuestos!$B$9)^(11-1),0)</f>
        <v>1918898.9969377359</v>
      </c>
      <c r="N130" s="4">
        <f>IF(11&lt;=Supuestos!$B$19,I130-Supuestos!$B$23*$D$29*(1+Supuestos!$B$9)^(11-1),0)</f>
        <v>11164637.955336979</v>
      </c>
      <c r="O130" s="4">
        <f t="shared" si="25"/>
        <v>7807341.518146757</v>
      </c>
      <c r="P130" s="4">
        <f t="shared" si="26"/>
        <v>43211065.225660145</v>
      </c>
    </row>
    <row r="131" spans="1:16" x14ac:dyDescent="0.3">
      <c r="B131" s="18">
        <f>Supuestos!$B$25+12-1</f>
        <v>2037</v>
      </c>
      <c r="C131" s="4">
        <f>$D$39*(1+Supuestos!$B$9)^(12-1)</f>
        <v>245649011.41164935</v>
      </c>
      <c r="D131" s="4">
        <f>IF(B131&lt;=Supuestos!$B$26,$D$38*(1+Supuestos!$B$9)^(12-1),0)</f>
        <v>0</v>
      </c>
      <c r="E131" s="4">
        <f t="shared" si="21"/>
        <v>245649011.41164935</v>
      </c>
      <c r="F131" s="4">
        <f>$D$43*(1+Supuestos!$B$9)^(12-1)*(1-Supuestos!$B$11)^(12-1)</f>
        <v>4525938.0689659379</v>
      </c>
      <c r="G131" s="4">
        <f>$D$44*(1+Supuestos!$B$9)^(12-1)*(1-Supuestos!$B$12)^(12-1)</f>
        <v>31251311.694535732</v>
      </c>
      <c r="H131" s="4">
        <f>IF(12&lt;=Supuestos!$B$18,$D$42*$D$31*(1+Supuestos!$B$10)^(12-1)*(1-Supuestos!$B$11)^(12-1),0)</f>
        <v>2491656.0328771737</v>
      </c>
      <c r="I131" s="4">
        <f>IF(12&lt;=Supuestos!$B$19,G131*$D$32,0)</f>
        <v>15625655.847267866</v>
      </c>
      <c r="J131" s="9">
        <f t="shared" si="22"/>
        <v>17659937.883356635</v>
      </c>
      <c r="K131" s="4">
        <f t="shared" si="23"/>
        <v>165101152.31522208</v>
      </c>
      <c r="L131" s="7">
        <f t="shared" si="24"/>
        <v>7.1890938139224897E-2</v>
      </c>
      <c r="M131" s="4">
        <f>IF(12&lt;=Supuestos!$B$18,H131-Supuestos!$B$22*$D$26*(1+Supuestos!$B$9)^(12-1),0)</f>
        <v>1997662.7481908249</v>
      </c>
      <c r="N131" s="4">
        <f>IF(12&lt;=Supuestos!$B$19,I131-Supuestos!$B$23*$D$29*(1+Supuestos!$B$9)^(12-1),0)</f>
        <v>11636723.120666469</v>
      </c>
      <c r="O131" s="4">
        <f t="shared" si="25"/>
        <v>9805004.266337581</v>
      </c>
      <c r="P131" s="4">
        <f t="shared" si="26"/>
        <v>54847788.346326612</v>
      </c>
    </row>
    <row r="132" spans="1:16" x14ac:dyDescent="0.3">
      <c r="B132" s="18">
        <f>Supuestos!$B$25+13-1</f>
        <v>2038</v>
      </c>
      <c r="C132" s="4">
        <f>$D$39*(1+Supuestos!$B$9)^(13-1)</f>
        <v>260387952.09634832</v>
      </c>
      <c r="D132" s="4">
        <f>IF(B132&lt;=Supuestos!$B$26,$D$38*(1+Supuestos!$B$9)^(13-1),0)</f>
        <v>0</v>
      </c>
      <c r="E132" s="4">
        <f t="shared" si="21"/>
        <v>260387952.09634832</v>
      </c>
      <c r="F132" s="4">
        <f>$D$43*(1+Supuestos!$B$9)^(13-1)*(1-Supuestos!$B$11)^(13-1)</f>
        <v>4773506.8813383756</v>
      </c>
      <c r="G132" s="4">
        <f>$D$44*(1+Supuestos!$B$9)^(13-1)*(1-Supuestos!$B$12)^(13-1)</f>
        <v>32712310.516255278</v>
      </c>
      <c r="H132" s="4">
        <f>IF(13&lt;=Supuestos!$B$18,$D$42*$D$31*(1+Supuestos!$B$10)^(13-1)*(1-Supuestos!$B$11)^(13-1),0)</f>
        <v>2603157.6403484275</v>
      </c>
      <c r="I132" s="4">
        <f>IF(13&lt;=Supuestos!$B$19,G132*$D$32,0)</f>
        <v>16356155.258127639</v>
      </c>
      <c r="J132" s="9">
        <f t="shared" si="22"/>
        <v>18526504.49911759</v>
      </c>
      <c r="K132" s="4">
        <f t="shared" si="23"/>
        <v>183627656.81433967</v>
      </c>
      <c r="L132" s="7">
        <f t="shared" si="24"/>
        <v>7.1149622515032665E-2</v>
      </c>
      <c r="M132" s="4">
        <f>IF(13&lt;=Supuestos!$B$18,H132-Supuestos!$B$22*$D$26*(1+Supuestos!$B$9)^(13-1),0)</f>
        <v>2079524.7585808977</v>
      </c>
      <c r="N132" s="4">
        <f>IF(13&lt;=Supuestos!$B$19,I132-Supuestos!$B$23*$D$29*(1+Supuestos!$B$9)^(13-1),0)</f>
        <v>12127886.567930158</v>
      </c>
      <c r="O132" s="4">
        <f t="shared" si="25"/>
        <v>11884529.024918478</v>
      </c>
      <c r="P132" s="4">
        <f t="shared" si="26"/>
        <v>66975674.914256766</v>
      </c>
    </row>
    <row r="133" spans="1:16" x14ac:dyDescent="0.3">
      <c r="B133" s="18">
        <f>Supuestos!$B$25+14-1</f>
        <v>2039</v>
      </c>
      <c r="C133" s="4">
        <f>$D$39*(1+Supuestos!$B$9)^(14-1)</f>
        <v>276011229.22212923</v>
      </c>
      <c r="D133" s="4">
        <f>IF(B133&lt;=Supuestos!$B$26,$D$38*(1+Supuestos!$B$9)^(14-1),0)</f>
        <v>0</v>
      </c>
      <c r="E133" s="4">
        <f t="shared" si="21"/>
        <v>276011229.22212923</v>
      </c>
      <c r="F133" s="4">
        <f>$D$43*(1+Supuestos!$B$9)^(14-1)*(1-Supuestos!$B$11)^(14-1)</f>
        <v>5034617.7077475851</v>
      </c>
      <c r="G133" s="4">
        <f>$D$44*(1+Supuestos!$B$9)^(14-1)*(1-Supuestos!$B$12)^(14-1)</f>
        <v>34241611.032890223</v>
      </c>
      <c r="H133" s="4">
        <f>IF(14&lt;=Supuestos!$B$18,$D$42*$D$31*(1+Supuestos!$B$10)^(14-1)*(1-Supuestos!$B$11)^(14-1),0)</f>
        <v>2719648.9447540203</v>
      </c>
      <c r="I133" s="4">
        <f>IF(14&lt;=Supuestos!$B$19,G133*$D$32,0)</f>
        <v>17120805.516445111</v>
      </c>
      <c r="J133" s="9">
        <f t="shared" si="22"/>
        <v>19435774.279438678</v>
      </c>
      <c r="K133" s="4">
        <f t="shared" si="23"/>
        <v>203063431.09377834</v>
      </c>
      <c r="L133" s="7">
        <f t="shared" si="24"/>
        <v>7.0416607085927979E-2</v>
      </c>
      <c r="M133" s="4">
        <f>IF(14&lt;=Supuestos!$B$18,H133-Supuestos!$B$22*$D$26*(1+Supuestos!$B$9)^(14-1),0)</f>
        <v>2164598.0900804386</v>
      </c>
      <c r="N133" s="4">
        <f>IF(14&lt;=Supuestos!$B$19,I133-Supuestos!$B$23*$D$29*(1+Supuestos!$B$9)^(14-1),0)</f>
        <v>12638840.70483578</v>
      </c>
      <c r="O133" s="4">
        <f t="shared" si="25"/>
        <v>14049127.114998916</v>
      </c>
      <c r="P133" s="4">
        <f t="shared" si="26"/>
        <v>79614515.619092554</v>
      </c>
    </row>
    <row r="134" spans="1:16" x14ac:dyDescent="0.3">
      <c r="B134" s="18">
        <f>Supuestos!$B$25+15-1</f>
        <v>2040</v>
      </c>
      <c r="C134" s="4">
        <f>$D$39*(1+Supuestos!$B$9)^(15-1)</f>
        <v>292571902.97545695</v>
      </c>
      <c r="D134" s="4">
        <f>IF(B134&lt;=Supuestos!$B$26,$D$38*(1+Supuestos!$B$9)^(15-1),0)</f>
        <v>0</v>
      </c>
      <c r="E134" s="4">
        <f t="shared" si="21"/>
        <v>292571902.97545695</v>
      </c>
      <c r="F134" s="4">
        <f>$D$43*(1+Supuestos!$B$9)^(15-1)*(1-Supuestos!$B$11)^(15-1)</f>
        <v>5310011.2963613784</v>
      </c>
      <c r="G134" s="4">
        <f>$D$44*(1+Supuestos!$B$9)^(15-1)*(1-Supuestos!$B$12)^(15-1)</f>
        <v>35842406.348677836</v>
      </c>
      <c r="H134" s="4">
        <f>IF(15&lt;=Supuestos!$B$18,$D$42*$D$31*(1+Supuestos!$B$10)^(15-1)*(1-Supuestos!$B$11)^(15-1),0)</f>
        <v>2841353.2350317617</v>
      </c>
      <c r="I134" s="4">
        <f>IF(15&lt;=Supuestos!$B$19,G134*$D$32,0)</f>
        <v>17921203.174338918</v>
      </c>
      <c r="J134" s="9">
        <f t="shared" si="22"/>
        <v>20389861.235668536</v>
      </c>
      <c r="K134" s="4">
        <f t="shared" si="23"/>
        <v>223453292.32944688</v>
      </c>
      <c r="L134" s="7">
        <f t="shared" si="24"/>
        <v>6.969179551523437E-2</v>
      </c>
      <c r="M134" s="4">
        <f>IF(15&lt;=Supuestos!$B$18,H134-Supuestos!$B$22*$D$26*(1+Supuestos!$B$9)^(15-1),0)</f>
        <v>2252999.3290777653</v>
      </c>
      <c r="N134" s="4">
        <f>IF(15&lt;=Supuestos!$B$19,I134-Supuestos!$B$23*$D$29*(1+Supuestos!$B$9)^(15-1),0)</f>
        <v>13170320.474033028</v>
      </c>
      <c r="O134" s="4">
        <f t="shared" si="25"/>
        <v>16302126.444076682</v>
      </c>
      <c r="P134" s="4">
        <f t="shared" si="26"/>
        <v>92784836.093125582</v>
      </c>
    </row>
    <row r="135" spans="1:16" x14ac:dyDescent="0.3">
      <c r="B135" s="18">
        <f>Supuestos!$B$25+16-1</f>
        <v>2041</v>
      </c>
      <c r="C135" s="4">
        <f>$D$39*(1+Supuestos!$B$9)^(16-1)</f>
        <v>310126217.15398449</v>
      </c>
      <c r="D135" s="4">
        <f>IF(B135&lt;=Supuestos!$B$26,$D$38*(1+Supuestos!$B$9)^(16-1),0)</f>
        <v>0</v>
      </c>
      <c r="E135" s="4">
        <f t="shared" si="21"/>
        <v>310126217.15398449</v>
      </c>
      <c r="F135" s="4">
        <f>$D$43*(1+Supuestos!$B$9)^(16-1)*(1-Supuestos!$B$11)^(16-1)</f>
        <v>5600468.9142723475</v>
      </c>
      <c r="G135" s="4">
        <f>$D$44*(1+Supuestos!$B$9)^(16-1)*(1-Supuestos!$B$12)^(16-1)</f>
        <v>37518038.845478542</v>
      </c>
      <c r="H135" s="4">
        <f>IF(16&lt;=Supuestos!$B$18,$D$42*$D$31*(1+Supuestos!$B$10)^(16-1)*(1-Supuestos!$B$11)^(16-1),0)</f>
        <v>0</v>
      </c>
      <c r="I135" s="4">
        <f>IF(16&lt;=Supuestos!$B$19,G135*$D$32,0)</f>
        <v>0</v>
      </c>
      <c r="J135" s="9">
        <f t="shared" si="22"/>
        <v>43118507.759750888</v>
      </c>
      <c r="K135" s="4">
        <f t="shared" si="23"/>
        <v>266571800.08919775</v>
      </c>
      <c r="L135" s="7">
        <f t="shared" si="24"/>
        <v>0.13903535197845462</v>
      </c>
      <c r="M135" s="4">
        <f>IF(16&lt;=Supuestos!$B$18,H135-Supuestos!$B$22*$D$26*(1+Supuestos!$B$9)^(16-1),0)</f>
        <v>0</v>
      </c>
      <c r="N135" s="4">
        <f>IF(16&lt;=Supuestos!$B$19,I135-Supuestos!$B$23*$D$29*(1+Supuestos!$B$9)^(16-1),0)</f>
        <v>0</v>
      </c>
      <c r="O135" s="4">
        <f t="shared" si="25"/>
        <v>16302126.444076682</v>
      </c>
      <c r="P135" s="4">
        <f t="shared" si="26"/>
        <v>92784836.093125582</v>
      </c>
    </row>
    <row r="136" spans="1:16" x14ac:dyDescent="0.3">
      <c r="B136" s="18">
        <f>Supuestos!$B$25+17-1</f>
        <v>2042</v>
      </c>
      <c r="C136" s="4">
        <f>$D$39*(1+Supuestos!$B$9)^(17-1)</f>
        <v>328733790.18322349</v>
      </c>
      <c r="D136" s="4">
        <f>IF(B136&lt;=Supuestos!$B$26,$D$38*(1+Supuestos!$B$9)^(17-1),0)</f>
        <v>0</v>
      </c>
      <c r="E136" s="4">
        <f t="shared" si="21"/>
        <v>328733790.18322349</v>
      </c>
      <c r="F136" s="4">
        <f>$D$43*(1+Supuestos!$B$9)^(17-1)*(1-Supuestos!$B$11)^(17-1)</f>
        <v>5906814.5638830429</v>
      </c>
      <c r="G136" s="4">
        <f>$D$44*(1+Supuestos!$B$9)^(17-1)*(1-Supuestos!$B$12)^(17-1)</f>
        <v>39272007.161504649</v>
      </c>
      <c r="H136" s="4">
        <f>IF(17&lt;=Supuestos!$B$18,$D$42*$D$31*(1+Supuestos!$B$10)^(17-1)*(1-Supuestos!$B$11)^(17-1),0)</f>
        <v>0</v>
      </c>
      <c r="I136" s="4">
        <f>IF(17&lt;=Supuestos!$B$19,G136*$D$32,0)</f>
        <v>0</v>
      </c>
      <c r="J136" s="9">
        <f t="shared" si="22"/>
        <v>45178821.725387692</v>
      </c>
      <c r="K136" s="4">
        <f t="shared" si="23"/>
        <v>311750621.81458545</v>
      </c>
      <c r="L136" s="7">
        <f t="shared" si="24"/>
        <v>0.13743285014968121</v>
      </c>
      <c r="M136" s="4">
        <f>IF(17&lt;=Supuestos!$B$18,H136-Supuestos!$B$22*$D$26*(1+Supuestos!$B$9)^(17-1),0)</f>
        <v>0</v>
      </c>
      <c r="N136" s="4">
        <f>IF(17&lt;=Supuestos!$B$19,I136-Supuestos!$B$23*$D$29*(1+Supuestos!$B$9)^(17-1),0)</f>
        <v>0</v>
      </c>
      <c r="O136" s="4">
        <f t="shared" si="25"/>
        <v>16302126.444076682</v>
      </c>
      <c r="P136" s="4">
        <f t="shared" si="26"/>
        <v>92784836.093125582</v>
      </c>
    </row>
    <row r="137" spans="1:16" x14ac:dyDescent="0.3">
      <c r="B137" s="18">
        <f>Supuestos!$B$25+18-1</f>
        <v>2043</v>
      </c>
      <c r="C137" s="4">
        <f>$D$39*(1+Supuestos!$B$9)^(18-1)</f>
        <v>348457817.59421694</v>
      </c>
      <c r="D137" s="4">
        <f>IF(B137&lt;=Supuestos!$B$26,$D$38*(1+Supuestos!$B$9)^(18-1),0)</f>
        <v>0</v>
      </c>
      <c r="E137" s="4">
        <f t="shared" si="21"/>
        <v>348457817.59421694</v>
      </c>
      <c r="F137" s="4">
        <f>$D$43*(1+Supuestos!$B$9)^(18-1)*(1-Supuestos!$B$11)^(18-1)</f>
        <v>6229917.3205274455</v>
      </c>
      <c r="G137" s="4">
        <f>$D$44*(1+Supuestos!$B$9)^(18-1)*(1-Supuestos!$B$12)^(18-1)</f>
        <v>41107973.496304996</v>
      </c>
      <c r="H137" s="4">
        <f>IF(18&lt;=Supuestos!$B$18,$D$42*$D$31*(1+Supuestos!$B$10)^(18-1)*(1-Supuestos!$B$11)^(18-1),0)</f>
        <v>0</v>
      </c>
      <c r="I137" s="4">
        <f>IF(18&lt;=Supuestos!$B$19,G137*$D$32,0)</f>
        <v>0</v>
      </c>
      <c r="J137" s="9">
        <f t="shared" si="22"/>
        <v>47337890.816832438</v>
      </c>
      <c r="K137" s="4">
        <f t="shared" si="23"/>
        <v>359088512.63141787</v>
      </c>
      <c r="L137" s="7">
        <f t="shared" si="24"/>
        <v>0.13584970239341265</v>
      </c>
      <c r="M137" s="4">
        <f>IF(18&lt;=Supuestos!$B$18,H137-Supuestos!$B$22*$D$26*(1+Supuestos!$B$9)^(18-1),0)</f>
        <v>0</v>
      </c>
      <c r="N137" s="4">
        <f>IF(18&lt;=Supuestos!$B$19,I137-Supuestos!$B$23*$D$29*(1+Supuestos!$B$9)^(18-1),0)</f>
        <v>0</v>
      </c>
      <c r="O137" s="4">
        <f t="shared" si="25"/>
        <v>16302126.444076682</v>
      </c>
      <c r="P137" s="4">
        <f t="shared" si="26"/>
        <v>92784836.093125582</v>
      </c>
    </row>
    <row r="138" spans="1:16" x14ac:dyDescent="0.3">
      <c r="B138" s="18">
        <f>Supuestos!$B$25+19-1</f>
        <v>2044</v>
      </c>
      <c r="C138" s="4">
        <f>$D$39*(1+Supuestos!$B$9)^(19-1)</f>
        <v>369365286.64986992</v>
      </c>
      <c r="D138" s="4">
        <f>IF(B138&lt;=Supuestos!$B$26,$D$38*(1+Supuestos!$B$9)^(19-1),0)</f>
        <v>0</v>
      </c>
      <c r="E138" s="4">
        <f t="shared" si="21"/>
        <v>369365286.64986992</v>
      </c>
      <c r="F138" s="4">
        <f>$D$43*(1+Supuestos!$B$9)^(19-1)*(1-Supuestos!$B$11)^(19-1)</f>
        <v>6570693.7979602972</v>
      </c>
      <c r="G138" s="4">
        <f>$D$44*(1+Supuestos!$B$9)^(19-1)*(1-Supuestos!$B$12)^(19-1)</f>
        <v>43029771.257257253</v>
      </c>
      <c r="H138" s="4">
        <f>IF(19&lt;=Supuestos!$B$18,$D$42*$D$31*(1+Supuestos!$B$10)^(19-1)*(1-Supuestos!$B$11)^(19-1),0)</f>
        <v>0</v>
      </c>
      <c r="I138" s="4">
        <f>IF(19&lt;=Supuestos!$B$19,G138*$D$32,0)</f>
        <v>0</v>
      </c>
      <c r="J138" s="9">
        <f t="shared" si="22"/>
        <v>49600465.055217549</v>
      </c>
      <c r="K138" s="4">
        <f t="shared" si="23"/>
        <v>408688977.68663543</v>
      </c>
      <c r="L138" s="7">
        <f t="shared" si="24"/>
        <v>0.13428567016974446</v>
      </c>
      <c r="M138" s="4">
        <f>IF(19&lt;=Supuestos!$B$18,H138-Supuestos!$B$22*$D$26*(1+Supuestos!$B$9)^(19-1),0)</f>
        <v>0</v>
      </c>
      <c r="N138" s="4">
        <f>IF(19&lt;=Supuestos!$B$19,I138-Supuestos!$B$23*$D$29*(1+Supuestos!$B$9)^(19-1),0)</f>
        <v>0</v>
      </c>
      <c r="O138" s="4">
        <f t="shared" si="25"/>
        <v>16302126.444076682</v>
      </c>
      <c r="P138" s="4">
        <f t="shared" si="26"/>
        <v>92784836.093125582</v>
      </c>
    </row>
    <row r="139" spans="1:16" x14ac:dyDescent="0.3">
      <c r="B139" s="18">
        <f>Supuestos!$B$25+20-1</f>
        <v>2045</v>
      </c>
      <c r="C139" s="4">
        <f>$D$39*(1+Supuestos!$B$9)^(20-1)</f>
        <v>391527203.84886217</v>
      </c>
      <c r="D139" s="4">
        <f>IF(B139&lt;=Supuestos!$B$26,$D$38*(1+Supuestos!$B$9)^(20-1),0)</f>
        <v>0</v>
      </c>
      <c r="E139" s="4">
        <f t="shared" si="21"/>
        <v>391527203.84886217</v>
      </c>
      <c r="F139" s="4">
        <f>$D$43*(1+Supuestos!$B$9)^(20-1)*(1-Supuestos!$B$11)^(20-1)</f>
        <v>6930110.7487087268</v>
      </c>
      <c r="G139" s="4">
        <f>$D$44*(1+Supuestos!$B$9)^(20-1)*(1-Supuestos!$B$12)^(20-1)</f>
        <v>45041413.063534044</v>
      </c>
      <c r="H139" s="4">
        <f>IF(20&lt;=Supuestos!$B$18,$D$42*$D$31*(1+Supuestos!$B$10)^(20-1)*(1-Supuestos!$B$11)^(20-1),0)</f>
        <v>0</v>
      </c>
      <c r="I139" s="4">
        <f>IF(20&lt;=Supuestos!$B$19,G139*$D$32,0)</f>
        <v>0</v>
      </c>
      <c r="J139" s="9">
        <f t="shared" si="22"/>
        <v>51971523.812242769</v>
      </c>
      <c r="K139" s="4">
        <f t="shared" si="23"/>
        <v>460660501.49887818</v>
      </c>
      <c r="L139" s="7">
        <f t="shared" si="24"/>
        <v>0.1327405179035909</v>
      </c>
      <c r="M139" s="4">
        <f>IF(20&lt;=Supuestos!$B$18,H139-Supuestos!$B$22*$D$26*(1+Supuestos!$B$9)^(20-1),0)</f>
        <v>0</v>
      </c>
      <c r="N139" s="4">
        <f>IF(20&lt;=Supuestos!$B$19,I139-Supuestos!$B$23*$D$29*(1+Supuestos!$B$9)^(20-1),0)</f>
        <v>0</v>
      </c>
      <c r="O139" s="4">
        <f t="shared" si="25"/>
        <v>16302126.444076682</v>
      </c>
      <c r="P139" s="4">
        <f t="shared" si="26"/>
        <v>92784836.093125582</v>
      </c>
    </row>
    <row r="143" spans="1:16" x14ac:dyDescent="0.3">
      <c r="A143" s="1" t="s">
        <v>186</v>
      </c>
    </row>
    <row r="145" spans="1:8" x14ac:dyDescent="0.3">
      <c r="B145" s="17" t="s">
        <v>187</v>
      </c>
      <c r="C145" s="17" t="s">
        <v>188</v>
      </c>
      <c r="D145" s="17" t="s">
        <v>189</v>
      </c>
      <c r="E145" s="17" t="s">
        <v>190</v>
      </c>
      <c r="F145" s="17" t="s">
        <v>191</v>
      </c>
      <c r="G145" s="17" t="s">
        <v>192</v>
      </c>
    </row>
    <row r="146" spans="1:8" x14ac:dyDescent="0.3">
      <c r="A146" t="s">
        <v>193</v>
      </c>
      <c r="B146">
        <v>0</v>
      </c>
      <c r="C146" s="4">
        <f>$N$19-C43</f>
        <v>96398470.854290247</v>
      </c>
      <c r="D146" s="4">
        <f>C146-C147</f>
        <v>90660171.911880508</v>
      </c>
      <c r="E146" s="4">
        <f>D146-D147</f>
        <v>71754349.014231205</v>
      </c>
      <c r="F146" s="4">
        <f>E146</f>
        <v>71754349.014231205</v>
      </c>
      <c r="G146" s="4">
        <v>0</v>
      </c>
    </row>
    <row r="147" spans="1:8" x14ac:dyDescent="0.3">
      <c r="A147" t="s">
        <v>194</v>
      </c>
      <c r="B147" s="4">
        <f>$N$19</f>
        <v>102136769.79669999</v>
      </c>
      <c r="C147" s="4">
        <f>C43</f>
        <v>5738298.942409738</v>
      </c>
      <c r="D147" s="4">
        <f>C44</f>
        <v>18905822.897649307</v>
      </c>
      <c r="E147" s="4">
        <f>C46</f>
        <v>3506266.8471957608</v>
      </c>
      <c r="F147" s="4">
        <f>C47</f>
        <v>9452911.4488246534</v>
      </c>
      <c r="G147" s="4">
        <f>B147+C147+D147-E147-F147</f>
        <v>113821713.34073861</v>
      </c>
    </row>
    <row r="150" spans="1:8" x14ac:dyDescent="0.3">
      <c r="A150" s="1" t="s">
        <v>208</v>
      </c>
    </row>
    <row r="151" spans="1:8" x14ac:dyDescent="0.3">
      <c r="A151" s="2" t="s">
        <v>195</v>
      </c>
      <c r="B151" s="2" t="s">
        <v>196</v>
      </c>
      <c r="C151" s="2" t="s">
        <v>197</v>
      </c>
      <c r="D151" s="2" t="s">
        <v>198</v>
      </c>
      <c r="E151" s="2" t="s">
        <v>199</v>
      </c>
      <c r="F151" s="2" t="s">
        <v>200</v>
      </c>
      <c r="G151" s="2" t="s">
        <v>201</v>
      </c>
      <c r="H151" s="2" t="s">
        <v>202</v>
      </c>
    </row>
    <row r="152" spans="1:8" x14ac:dyDescent="0.3">
      <c r="A152" s="18">
        <v>0</v>
      </c>
      <c r="B152" t="s">
        <v>203</v>
      </c>
      <c r="C152" s="4">
        <v>4277.6000000000004</v>
      </c>
      <c r="D152" s="4">
        <v>0</v>
      </c>
      <c r="E152" s="4">
        <f t="shared" ref="E152:E175" si="27">C152-D152</f>
        <v>4277.6000000000004</v>
      </c>
      <c r="F152" s="4">
        <v>-1906.4</v>
      </c>
      <c r="G152" s="4">
        <v>0</v>
      </c>
      <c r="H152" s="4">
        <f t="shared" ref="H152:H175" si="28">E152-F152-G152</f>
        <v>6184</v>
      </c>
    </row>
    <row r="153" spans="1:8" x14ac:dyDescent="0.3">
      <c r="A153" s="18">
        <v>1</v>
      </c>
      <c r="B153" t="s">
        <v>203</v>
      </c>
      <c r="C153" s="4">
        <v>4277.6000000000004</v>
      </c>
      <c r="D153" s="4">
        <v>0</v>
      </c>
      <c r="E153" s="4">
        <f t="shared" si="27"/>
        <v>4277.6000000000004</v>
      </c>
      <c r="F153" s="4">
        <v>-1906.4</v>
      </c>
      <c r="G153" s="4">
        <v>0</v>
      </c>
      <c r="H153" s="4">
        <f t="shared" si="28"/>
        <v>6184</v>
      </c>
    </row>
    <row r="154" spans="1:8" x14ac:dyDescent="0.3">
      <c r="A154" s="18">
        <v>2</v>
      </c>
      <c r="B154" t="s">
        <v>203</v>
      </c>
      <c r="C154" s="4">
        <v>4277.6000000000004</v>
      </c>
      <c r="D154" s="4">
        <v>0</v>
      </c>
      <c r="E154" s="4">
        <f t="shared" si="27"/>
        <v>4277.6000000000004</v>
      </c>
      <c r="F154" s="4">
        <v>-1906.4</v>
      </c>
      <c r="G154" s="4">
        <v>0</v>
      </c>
      <c r="H154" s="4">
        <f t="shared" si="28"/>
        <v>6184</v>
      </c>
    </row>
    <row r="155" spans="1:8" x14ac:dyDescent="0.3">
      <c r="A155" s="18">
        <v>3</v>
      </c>
      <c r="B155" t="s">
        <v>203</v>
      </c>
      <c r="C155" s="4">
        <v>4328</v>
      </c>
      <c r="D155" s="4">
        <v>0</v>
      </c>
      <c r="E155" s="4">
        <f t="shared" si="27"/>
        <v>4328</v>
      </c>
      <c r="F155" s="4">
        <v>-1906.4</v>
      </c>
      <c r="G155" s="4">
        <v>0</v>
      </c>
      <c r="H155" s="4">
        <f t="shared" si="28"/>
        <v>6234.4</v>
      </c>
    </row>
    <row r="156" spans="1:8" x14ac:dyDescent="0.3">
      <c r="A156" s="18">
        <v>4</v>
      </c>
      <c r="B156" t="s">
        <v>203</v>
      </c>
      <c r="C156" s="4">
        <v>4428.6000000000004</v>
      </c>
      <c r="D156" s="4">
        <v>0</v>
      </c>
      <c r="E156" s="4">
        <f t="shared" si="27"/>
        <v>4428.6000000000004</v>
      </c>
      <c r="F156" s="4">
        <v>-1906.4</v>
      </c>
      <c r="G156" s="4">
        <v>0</v>
      </c>
      <c r="H156" s="4">
        <f t="shared" si="28"/>
        <v>6335</v>
      </c>
    </row>
    <row r="157" spans="1:8" x14ac:dyDescent="0.3">
      <c r="A157" s="18">
        <v>5</v>
      </c>
      <c r="B157" t="s">
        <v>203</v>
      </c>
      <c r="C157" s="4">
        <v>4629.8999999999996</v>
      </c>
      <c r="D157" s="4">
        <v>0</v>
      </c>
      <c r="E157" s="4">
        <f t="shared" si="27"/>
        <v>4629.8999999999996</v>
      </c>
      <c r="F157" s="4">
        <v>-1906.4</v>
      </c>
      <c r="G157" s="4">
        <v>0</v>
      </c>
      <c r="H157" s="4">
        <f t="shared" si="28"/>
        <v>6536.2999999999993</v>
      </c>
    </row>
    <row r="158" spans="1:8" x14ac:dyDescent="0.3">
      <c r="A158" s="18">
        <v>6</v>
      </c>
      <c r="B158" t="s">
        <v>204</v>
      </c>
      <c r="C158" s="4">
        <v>4931.8999999999996</v>
      </c>
      <c r="D158" s="4">
        <v>0</v>
      </c>
      <c r="E158" s="4">
        <f t="shared" si="27"/>
        <v>4931.8999999999996</v>
      </c>
      <c r="F158" s="4">
        <v>0</v>
      </c>
      <c r="G158" s="4">
        <v>0</v>
      </c>
      <c r="H158" s="4">
        <f t="shared" si="28"/>
        <v>4931.8999999999996</v>
      </c>
    </row>
    <row r="159" spans="1:8" x14ac:dyDescent="0.3">
      <c r="A159" s="18">
        <v>7</v>
      </c>
      <c r="B159" t="s">
        <v>204</v>
      </c>
      <c r="C159" s="4">
        <v>5284.1</v>
      </c>
      <c r="D159" s="4">
        <v>271.8</v>
      </c>
      <c r="E159" s="4">
        <f t="shared" si="27"/>
        <v>5012.3</v>
      </c>
      <c r="F159" s="4">
        <v>0</v>
      </c>
      <c r="G159" s="4">
        <v>0</v>
      </c>
      <c r="H159" s="4">
        <f t="shared" si="28"/>
        <v>5012.3</v>
      </c>
    </row>
    <row r="160" spans="1:8" x14ac:dyDescent="0.3">
      <c r="A160" s="18">
        <v>8</v>
      </c>
      <c r="B160" t="s">
        <v>204</v>
      </c>
      <c r="C160" s="4">
        <v>5636.4</v>
      </c>
      <c r="D160" s="4">
        <v>526.5</v>
      </c>
      <c r="E160" s="4">
        <f t="shared" si="27"/>
        <v>5109.8999999999996</v>
      </c>
      <c r="F160" s="4">
        <v>0</v>
      </c>
      <c r="G160" s="4">
        <v>0</v>
      </c>
      <c r="H160" s="4">
        <f t="shared" si="28"/>
        <v>5109.8999999999996</v>
      </c>
    </row>
    <row r="161" spans="1:8" x14ac:dyDescent="0.3">
      <c r="A161" s="18">
        <v>9</v>
      </c>
      <c r="B161" t="s">
        <v>204</v>
      </c>
      <c r="C161" s="4">
        <v>5787.4</v>
      </c>
      <c r="D161" s="4">
        <v>748.1</v>
      </c>
      <c r="E161" s="4">
        <f t="shared" si="27"/>
        <v>5039.2999999999993</v>
      </c>
      <c r="F161" s="4">
        <v>0</v>
      </c>
      <c r="G161" s="4">
        <v>0</v>
      </c>
      <c r="H161" s="4">
        <f t="shared" si="28"/>
        <v>5039.2999999999993</v>
      </c>
    </row>
    <row r="162" spans="1:8" x14ac:dyDescent="0.3">
      <c r="A162" s="18">
        <v>10</v>
      </c>
      <c r="B162" t="s">
        <v>204</v>
      </c>
      <c r="C162" s="4">
        <v>5837.7</v>
      </c>
      <c r="D162" s="4">
        <v>922.7</v>
      </c>
      <c r="E162" s="4">
        <f t="shared" si="27"/>
        <v>4915</v>
      </c>
      <c r="F162" s="4">
        <v>0</v>
      </c>
      <c r="G162" s="4">
        <v>0</v>
      </c>
      <c r="H162" s="4">
        <f t="shared" si="28"/>
        <v>4915</v>
      </c>
    </row>
    <row r="163" spans="1:8" x14ac:dyDescent="0.3">
      <c r="A163" s="18">
        <v>11</v>
      </c>
      <c r="B163" t="s">
        <v>204</v>
      </c>
      <c r="C163" s="4">
        <v>5837.7</v>
      </c>
      <c r="D163" s="4">
        <v>1039.4000000000001</v>
      </c>
      <c r="E163" s="4">
        <f t="shared" si="27"/>
        <v>4798.2999999999993</v>
      </c>
      <c r="F163" s="4">
        <v>0</v>
      </c>
      <c r="G163" s="4">
        <v>0</v>
      </c>
      <c r="H163" s="4">
        <f t="shared" si="28"/>
        <v>4798.2999999999993</v>
      </c>
    </row>
    <row r="164" spans="1:8" x14ac:dyDescent="0.3">
      <c r="A164" s="18">
        <v>12</v>
      </c>
      <c r="B164" t="s">
        <v>204</v>
      </c>
      <c r="C164" s="4">
        <v>5837.7</v>
      </c>
      <c r="D164" s="4">
        <v>1090.7</v>
      </c>
      <c r="E164" s="4">
        <f t="shared" si="27"/>
        <v>4747</v>
      </c>
      <c r="F164" s="4">
        <v>0</v>
      </c>
      <c r="G164" s="4">
        <v>0</v>
      </c>
      <c r="H164" s="4">
        <f t="shared" si="28"/>
        <v>4747</v>
      </c>
    </row>
    <row r="165" spans="1:8" x14ac:dyDescent="0.3">
      <c r="A165" s="18">
        <v>13</v>
      </c>
      <c r="B165" t="s">
        <v>204</v>
      </c>
      <c r="C165" s="4">
        <v>5787.4</v>
      </c>
      <c r="D165" s="4">
        <v>1073.5</v>
      </c>
      <c r="E165" s="4">
        <f t="shared" si="27"/>
        <v>4713.8999999999996</v>
      </c>
      <c r="F165" s="4">
        <v>0</v>
      </c>
      <c r="G165" s="4">
        <v>0</v>
      </c>
      <c r="H165" s="4">
        <f t="shared" si="28"/>
        <v>4713.8999999999996</v>
      </c>
    </row>
    <row r="166" spans="1:8" x14ac:dyDescent="0.3">
      <c r="A166" s="18">
        <v>14</v>
      </c>
      <c r="B166" t="s">
        <v>204</v>
      </c>
      <c r="C166" s="4">
        <v>5737.1</v>
      </c>
      <c r="D166" s="4">
        <v>988.8</v>
      </c>
      <c r="E166" s="4">
        <f t="shared" si="27"/>
        <v>4748.3</v>
      </c>
      <c r="F166" s="4">
        <v>0</v>
      </c>
      <c r="G166" s="4">
        <v>0</v>
      </c>
      <c r="H166" s="4">
        <f t="shared" si="28"/>
        <v>4748.3</v>
      </c>
    </row>
    <row r="167" spans="1:8" x14ac:dyDescent="0.3">
      <c r="A167" s="18">
        <v>15</v>
      </c>
      <c r="B167" t="s">
        <v>204</v>
      </c>
      <c r="C167" s="4">
        <v>5686.7</v>
      </c>
      <c r="D167" s="4">
        <v>842</v>
      </c>
      <c r="E167" s="4">
        <f t="shared" si="27"/>
        <v>4844.7</v>
      </c>
      <c r="F167" s="4">
        <v>0</v>
      </c>
      <c r="G167" s="4">
        <v>0</v>
      </c>
      <c r="H167" s="4">
        <f t="shared" si="28"/>
        <v>4844.7</v>
      </c>
    </row>
    <row r="168" spans="1:8" x14ac:dyDescent="0.3">
      <c r="A168" s="18">
        <v>16</v>
      </c>
      <c r="B168" t="s">
        <v>204</v>
      </c>
      <c r="C168" s="4">
        <v>5636.4</v>
      </c>
      <c r="D168" s="4">
        <v>642.4</v>
      </c>
      <c r="E168" s="4">
        <f t="shared" si="27"/>
        <v>4994</v>
      </c>
      <c r="F168" s="4">
        <v>0</v>
      </c>
      <c r="G168" s="4">
        <v>0</v>
      </c>
      <c r="H168" s="4">
        <f t="shared" si="28"/>
        <v>4994</v>
      </c>
    </row>
    <row r="169" spans="1:8" x14ac:dyDescent="0.3">
      <c r="A169" s="18">
        <v>17</v>
      </c>
      <c r="B169" t="s">
        <v>204</v>
      </c>
      <c r="C169" s="4">
        <v>5535.8</v>
      </c>
      <c r="D169" s="4">
        <v>402.3</v>
      </c>
      <c r="E169" s="4">
        <f t="shared" si="27"/>
        <v>5133.5</v>
      </c>
      <c r="F169" s="4">
        <v>0</v>
      </c>
      <c r="G169" s="4">
        <v>0</v>
      </c>
      <c r="H169" s="4">
        <f t="shared" si="28"/>
        <v>5133.5</v>
      </c>
    </row>
    <row r="170" spans="1:8" x14ac:dyDescent="0.3">
      <c r="A170" s="18">
        <v>18</v>
      </c>
      <c r="B170" t="s">
        <v>205</v>
      </c>
      <c r="C170" s="4">
        <v>5636.4</v>
      </c>
      <c r="D170" s="4">
        <v>137</v>
      </c>
      <c r="E170" s="4">
        <f t="shared" si="27"/>
        <v>5499.4</v>
      </c>
      <c r="F170" s="4">
        <v>0</v>
      </c>
      <c r="G170" s="4">
        <f>MIN($C$28,MAX(0,E170-$E$180))</f>
        <v>2705.3029526960781</v>
      </c>
      <c r="H170" s="4">
        <f t="shared" si="28"/>
        <v>2794.0970473039215</v>
      </c>
    </row>
    <row r="171" spans="1:8" x14ac:dyDescent="0.3">
      <c r="A171" s="18">
        <v>19</v>
      </c>
      <c r="B171" t="s">
        <v>205</v>
      </c>
      <c r="C171" s="4">
        <v>5737.1</v>
      </c>
      <c r="D171" s="4">
        <v>0</v>
      </c>
      <c r="E171" s="4">
        <f t="shared" si="27"/>
        <v>5737.1</v>
      </c>
      <c r="F171" s="4">
        <v>0</v>
      </c>
      <c r="G171" s="4">
        <f>MIN($C$28,MAX(0,E171-$E$180))</f>
        <v>2943.0029526960789</v>
      </c>
      <c r="H171" s="4">
        <f t="shared" si="28"/>
        <v>2794.0970473039215</v>
      </c>
    </row>
    <row r="172" spans="1:8" x14ac:dyDescent="0.3">
      <c r="A172" s="18">
        <v>20</v>
      </c>
      <c r="B172" t="s">
        <v>205</v>
      </c>
      <c r="C172" s="4">
        <v>5636.4</v>
      </c>
      <c r="D172" s="4">
        <v>0</v>
      </c>
      <c r="E172" s="4">
        <f t="shared" si="27"/>
        <v>5636.4</v>
      </c>
      <c r="F172" s="4">
        <v>0</v>
      </c>
      <c r="G172" s="4">
        <f>MIN($C$28,MAX(0,E172-$E$180))</f>
        <v>2842.3029526960781</v>
      </c>
      <c r="H172" s="4">
        <f t="shared" si="28"/>
        <v>2794.0970473039215</v>
      </c>
    </row>
    <row r="173" spans="1:8" x14ac:dyDescent="0.3">
      <c r="A173" s="18">
        <v>21</v>
      </c>
      <c r="B173" t="s">
        <v>205</v>
      </c>
      <c r="C173" s="4">
        <v>5284.1</v>
      </c>
      <c r="D173" s="4">
        <v>0</v>
      </c>
      <c r="E173" s="4">
        <f t="shared" si="27"/>
        <v>5284.1</v>
      </c>
      <c r="F173" s="4">
        <v>0</v>
      </c>
      <c r="G173" s="4">
        <f>MIN($C$28,MAX(0,E173-$E$180))</f>
        <v>2490.0029526960789</v>
      </c>
      <c r="H173" s="4">
        <f t="shared" si="28"/>
        <v>2794.0970473039215</v>
      </c>
    </row>
    <row r="174" spans="1:8" x14ac:dyDescent="0.3">
      <c r="A174" s="18">
        <v>22</v>
      </c>
      <c r="B174" t="s">
        <v>204</v>
      </c>
      <c r="C174" s="4">
        <v>4780.8999999999996</v>
      </c>
      <c r="D174" s="4">
        <v>0</v>
      </c>
      <c r="E174" s="4">
        <f t="shared" si="27"/>
        <v>4780.8999999999996</v>
      </c>
      <c r="F174" s="4">
        <v>0</v>
      </c>
      <c r="G174" s="4">
        <v>0</v>
      </c>
      <c r="H174" s="4">
        <f t="shared" si="28"/>
        <v>4780.8999999999996</v>
      </c>
    </row>
    <row r="175" spans="1:8" x14ac:dyDescent="0.3">
      <c r="A175" s="18">
        <v>23</v>
      </c>
      <c r="B175" t="s">
        <v>204</v>
      </c>
      <c r="C175" s="4">
        <v>4428.6000000000004</v>
      </c>
      <c r="D175" s="4">
        <v>0</v>
      </c>
      <c r="E175" s="4">
        <f t="shared" si="27"/>
        <v>4428.6000000000004</v>
      </c>
      <c r="F175" s="4">
        <v>0</v>
      </c>
      <c r="G175" s="4">
        <v>0</v>
      </c>
      <c r="H175" s="4">
        <f t="shared" si="28"/>
        <v>4428.6000000000004</v>
      </c>
    </row>
    <row r="177" spans="1:8" x14ac:dyDescent="0.3">
      <c r="A177" s="27" t="s">
        <v>209</v>
      </c>
    </row>
    <row r="178" spans="1:8" x14ac:dyDescent="0.3">
      <c r="A178" t="s">
        <v>210</v>
      </c>
      <c r="E178" s="21">
        <f>MAX(E170:E173)</f>
        <v>5737.1</v>
      </c>
    </row>
    <row r="179" spans="1:8" x14ac:dyDescent="0.3">
      <c r="A179" t="s">
        <v>211</v>
      </c>
      <c r="E179" s="21">
        <f>$C$30</f>
        <v>10980.611810784314</v>
      </c>
    </row>
    <row r="180" spans="1:8" x14ac:dyDescent="0.3">
      <c r="A180" t="s">
        <v>212</v>
      </c>
      <c r="E180" s="21">
        <f>MAX(0,(SUM(E170:E173)-MIN($C$30,SUM(E170:E173)))/4)</f>
        <v>2794.0970473039215</v>
      </c>
    </row>
    <row r="181" spans="1:8" x14ac:dyDescent="0.3">
      <c r="A181" t="s">
        <v>213</v>
      </c>
      <c r="E181" s="21">
        <f>MAX(H170:H173)</f>
        <v>2794.0970473039215</v>
      </c>
    </row>
    <row r="182" spans="1:8" x14ac:dyDescent="0.3">
      <c r="A182" s="27" t="s">
        <v>214</v>
      </c>
      <c r="E182" s="29">
        <f>E178-E181</f>
        <v>2943.0029526960789</v>
      </c>
    </row>
    <row r="183" spans="1:8" x14ac:dyDescent="0.3">
      <c r="A183" t="s">
        <v>215</v>
      </c>
      <c r="E183" s="4">
        <f>E182*AVERAGE(B17:M17)</f>
        <v>1255512.0371472137</v>
      </c>
    </row>
    <row r="184" spans="1:8" x14ac:dyDescent="0.3">
      <c r="A184" s="28" t="s">
        <v>216</v>
      </c>
    </row>
    <row r="186" spans="1:8" x14ac:dyDescent="0.3">
      <c r="A186" s="27" t="s">
        <v>217</v>
      </c>
    </row>
    <row r="187" spans="1:8" x14ac:dyDescent="0.3">
      <c r="A187" s="27" t="s">
        <v>195</v>
      </c>
      <c r="B187" s="27" t="s">
        <v>196</v>
      </c>
      <c r="C187" s="27" t="s">
        <v>197</v>
      </c>
      <c r="D187" s="27" t="s">
        <v>198</v>
      </c>
      <c r="E187" s="27" t="s">
        <v>199</v>
      </c>
      <c r="F187" s="27" t="s">
        <v>200</v>
      </c>
      <c r="G187" s="27" t="s">
        <v>201</v>
      </c>
      <c r="H187" s="27" t="s">
        <v>202</v>
      </c>
    </row>
    <row r="188" spans="1:8" x14ac:dyDescent="0.3">
      <c r="A188">
        <v>0</v>
      </c>
      <c r="B188" t="s">
        <v>203</v>
      </c>
      <c r="C188">
        <v>4277.6000000000004</v>
      </c>
      <c r="D188">
        <v>0</v>
      </c>
      <c r="E188">
        <f t="shared" ref="E188:E211" si="29">C188-D188</f>
        <v>4277.6000000000004</v>
      </c>
      <c r="F188">
        <v>-1906.4</v>
      </c>
      <c r="G188">
        <v>0</v>
      </c>
      <c r="H188">
        <f t="shared" ref="H188:H211" si="30">E188-F188-G188</f>
        <v>6184</v>
      </c>
    </row>
    <row r="189" spans="1:8" x14ac:dyDescent="0.3">
      <c r="A189">
        <v>1</v>
      </c>
      <c r="B189" t="s">
        <v>203</v>
      </c>
      <c r="C189">
        <v>4277.6000000000004</v>
      </c>
      <c r="D189">
        <v>0</v>
      </c>
      <c r="E189">
        <f t="shared" si="29"/>
        <v>4277.6000000000004</v>
      </c>
      <c r="F189">
        <v>-1906.4</v>
      </c>
      <c r="G189">
        <v>0</v>
      </c>
      <c r="H189">
        <f t="shared" si="30"/>
        <v>6184</v>
      </c>
    </row>
    <row r="190" spans="1:8" x14ac:dyDescent="0.3">
      <c r="A190">
        <v>2</v>
      </c>
      <c r="B190" t="s">
        <v>203</v>
      </c>
      <c r="C190">
        <v>4277.6000000000004</v>
      </c>
      <c r="D190">
        <v>0</v>
      </c>
      <c r="E190">
        <f t="shared" si="29"/>
        <v>4277.6000000000004</v>
      </c>
      <c r="F190">
        <v>-1906.4</v>
      </c>
      <c r="G190">
        <v>0</v>
      </c>
      <c r="H190">
        <f t="shared" si="30"/>
        <v>6184</v>
      </c>
    </row>
    <row r="191" spans="1:8" x14ac:dyDescent="0.3">
      <c r="A191">
        <v>3</v>
      </c>
      <c r="B191" t="s">
        <v>203</v>
      </c>
      <c r="C191">
        <v>4328</v>
      </c>
      <c r="D191">
        <v>0</v>
      </c>
      <c r="E191">
        <f t="shared" si="29"/>
        <v>4328</v>
      </c>
      <c r="F191">
        <v>-1906.4</v>
      </c>
      <c r="G191">
        <v>0</v>
      </c>
      <c r="H191">
        <f t="shared" si="30"/>
        <v>6234.4</v>
      </c>
    </row>
    <row r="192" spans="1:8" x14ac:dyDescent="0.3">
      <c r="A192">
        <v>4</v>
      </c>
      <c r="B192" t="s">
        <v>203</v>
      </c>
      <c r="C192">
        <v>4428.6000000000004</v>
      </c>
      <c r="D192">
        <v>0</v>
      </c>
      <c r="E192">
        <f t="shared" si="29"/>
        <v>4428.6000000000004</v>
      </c>
      <c r="F192">
        <v>-1906.4</v>
      </c>
      <c r="G192">
        <v>0</v>
      </c>
      <c r="H192">
        <f t="shared" si="30"/>
        <v>6335</v>
      </c>
    </row>
    <row r="193" spans="1:8" x14ac:dyDescent="0.3">
      <c r="A193">
        <v>5</v>
      </c>
      <c r="B193" t="s">
        <v>203</v>
      </c>
      <c r="C193">
        <v>4629.8999999999996</v>
      </c>
      <c r="D193">
        <v>0</v>
      </c>
      <c r="E193">
        <f t="shared" si="29"/>
        <v>4629.8999999999996</v>
      </c>
      <c r="F193">
        <v>-1906.4</v>
      </c>
      <c r="G193">
        <v>0</v>
      </c>
      <c r="H193">
        <f t="shared" si="30"/>
        <v>6536.2999999999993</v>
      </c>
    </row>
    <row r="194" spans="1:8" x14ac:dyDescent="0.3">
      <c r="A194">
        <v>6</v>
      </c>
      <c r="B194" t="s">
        <v>204</v>
      </c>
      <c r="C194">
        <v>4931.8999999999996</v>
      </c>
      <c r="D194">
        <v>0</v>
      </c>
      <c r="E194">
        <f t="shared" si="29"/>
        <v>4931.8999999999996</v>
      </c>
      <c r="F194">
        <v>0</v>
      </c>
      <c r="G194">
        <v>0</v>
      </c>
      <c r="H194">
        <f t="shared" si="30"/>
        <v>4931.8999999999996</v>
      </c>
    </row>
    <row r="195" spans="1:8" x14ac:dyDescent="0.3">
      <c r="A195">
        <v>7</v>
      </c>
      <c r="B195" t="s">
        <v>204</v>
      </c>
      <c r="C195">
        <v>5284.1</v>
      </c>
      <c r="D195">
        <v>271.8</v>
      </c>
      <c r="E195">
        <f t="shared" si="29"/>
        <v>5012.3</v>
      </c>
      <c r="F195">
        <v>0</v>
      </c>
      <c r="G195">
        <v>0</v>
      </c>
      <c r="H195">
        <f t="shared" si="30"/>
        <v>5012.3</v>
      </c>
    </row>
    <row r="196" spans="1:8" x14ac:dyDescent="0.3">
      <c r="A196">
        <v>8</v>
      </c>
      <c r="B196" t="s">
        <v>204</v>
      </c>
      <c r="C196">
        <v>5636.4</v>
      </c>
      <c r="D196">
        <v>526.5</v>
      </c>
      <c r="E196">
        <f t="shared" si="29"/>
        <v>5109.8999999999996</v>
      </c>
      <c r="F196">
        <v>0</v>
      </c>
      <c r="G196">
        <v>0</v>
      </c>
      <c r="H196">
        <f t="shared" si="30"/>
        <v>5109.8999999999996</v>
      </c>
    </row>
    <row r="197" spans="1:8" x14ac:dyDescent="0.3">
      <c r="A197">
        <v>9</v>
      </c>
      <c r="B197" t="s">
        <v>204</v>
      </c>
      <c r="C197">
        <v>5787.4</v>
      </c>
      <c r="D197">
        <v>748.1</v>
      </c>
      <c r="E197">
        <f t="shared" si="29"/>
        <v>5039.2999999999993</v>
      </c>
      <c r="F197">
        <v>0</v>
      </c>
      <c r="G197">
        <v>0</v>
      </c>
      <c r="H197">
        <f t="shared" si="30"/>
        <v>5039.2999999999993</v>
      </c>
    </row>
    <row r="198" spans="1:8" x14ac:dyDescent="0.3">
      <c r="A198">
        <v>10</v>
      </c>
      <c r="B198" t="s">
        <v>204</v>
      </c>
      <c r="C198">
        <v>5837.7</v>
      </c>
      <c r="D198">
        <v>922.7</v>
      </c>
      <c r="E198">
        <f t="shared" si="29"/>
        <v>4915</v>
      </c>
      <c r="F198">
        <v>0</v>
      </c>
      <c r="G198">
        <v>0</v>
      </c>
      <c r="H198">
        <f t="shared" si="30"/>
        <v>4915</v>
      </c>
    </row>
    <row r="199" spans="1:8" x14ac:dyDescent="0.3">
      <c r="A199">
        <v>11</v>
      </c>
      <c r="B199" t="s">
        <v>204</v>
      </c>
      <c r="C199">
        <v>5837.7</v>
      </c>
      <c r="D199">
        <v>1039.4000000000001</v>
      </c>
      <c r="E199">
        <f t="shared" si="29"/>
        <v>4798.2999999999993</v>
      </c>
      <c r="F199">
        <v>0</v>
      </c>
      <c r="G199">
        <v>0</v>
      </c>
      <c r="H199">
        <f t="shared" si="30"/>
        <v>4798.2999999999993</v>
      </c>
    </row>
    <row r="200" spans="1:8" x14ac:dyDescent="0.3">
      <c r="A200">
        <v>12</v>
      </c>
      <c r="B200" t="s">
        <v>204</v>
      </c>
      <c r="C200">
        <v>5837.7</v>
      </c>
      <c r="D200">
        <v>1090.7</v>
      </c>
      <c r="E200">
        <f t="shared" si="29"/>
        <v>4747</v>
      </c>
      <c r="F200">
        <v>0</v>
      </c>
      <c r="G200">
        <v>0</v>
      </c>
      <c r="H200">
        <f t="shared" si="30"/>
        <v>4747</v>
      </c>
    </row>
    <row r="201" spans="1:8" x14ac:dyDescent="0.3">
      <c r="A201">
        <v>13</v>
      </c>
      <c r="B201" t="s">
        <v>204</v>
      </c>
      <c r="C201">
        <v>5787.4</v>
      </c>
      <c r="D201">
        <v>1073.5</v>
      </c>
      <c r="E201">
        <f t="shared" si="29"/>
        <v>4713.8999999999996</v>
      </c>
      <c r="F201">
        <v>0</v>
      </c>
      <c r="G201">
        <v>0</v>
      </c>
      <c r="H201">
        <f t="shared" si="30"/>
        <v>4713.8999999999996</v>
      </c>
    </row>
    <row r="202" spans="1:8" x14ac:dyDescent="0.3">
      <c r="A202">
        <v>14</v>
      </c>
      <c r="B202" t="s">
        <v>204</v>
      </c>
      <c r="C202">
        <v>5737.1</v>
      </c>
      <c r="D202">
        <v>988.8</v>
      </c>
      <c r="E202">
        <f t="shared" si="29"/>
        <v>4748.3</v>
      </c>
      <c r="F202">
        <v>0</v>
      </c>
      <c r="G202">
        <v>0</v>
      </c>
      <c r="H202">
        <f t="shared" si="30"/>
        <v>4748.3</v>
      </c>
    </row>
    <row r="203" spans="1:8" x14ac:dyDescent="0.3">
      <c r="A203">
        <v>15</v>
      </c>
      <c r="B203" t="s">
        <v>204</v>
      </c>
      <c r="C203">
        <v>5686.7</v>
      </c>
      <c r="D203">
        <v>842</v>
      </c>
      <c r="E203">
        <f t="shared" si="29"/>
        <v>4844.7</v>
      </c>
      <c r="F203">
        <v>0</v>
      </c>
      <c r="G203">
        <v>0</v>
      </c>
      <c r="H203">
        <f t="shared" si="30"/>
        <v>4844.7</v>
      </c>
    </row>
    <row r="204" spans="1:8" x14ac:dyDescent="0.3">
      <c r="A204">
        <v>16</v>
      </c>
      <c r="B204" t="s">
        <v>204</v>
      </c>
      <c r="C204">
        <v>5636.4</v>
      </c>
      <c r="D204">
        <v>642.4</v>
      </c>
      <c r="E204">
        <f t="shared" si="29"/>
        <v>4994</v>
      </c>
      <c r="F204">
        <v>0</v>
      </c>
      <c r="G204">
        <v>0</v>
      </c>
      <c r="H204">
        <f t="shared" si="30"/>
        <v>4994</v>
      </c>
    </row>
    <row r="205" spans="1:8" x14ac:dyDescent="0.3">
      <c r="A205">
        <v>17</v>
      </c>
      <c r="B205" t="s">
        <v>204</v>
      </c>
      <c r="C205">
        <v>5535.8</v>
      </c>
      <c r="D205">
        <v>402.3</v>
      </c>
      <c r="E205">
        <f t="shared" si="29"/>
        <v>5133.5</v>
      </c>
      <c r="F205">
        <v>0</v>
      </c>
      <c r="G205">
        <v>0</v>
      </c>
      <c r="H205">
        <f t="shared" si="30"/>
        <v>5133.5</v>
      </c>
    </row>
    <row r="206" spans="1:8" x14ac:dyDescent="0.3">
      <c r="A206">
        <v>18</v>
      </c>
      <c r="B206" t="s">
        <v>204</v>
      </c>
      <c r="C206">
        <v>5636.4</v>
      </c>
      <c r="D206">
        <v>137</v>
      </c>
      <c r="E206">
        <f t="shared" si="29"/>
        <v>5499.4</v>
      </c>
      <c r="F206">
        <v>0</v>
      </c>
      <c r="G206">
        <v>0</v>
      </c>
      <c r="H206">
        <f t="shared" si="30"/>
        <v>5499.4</v>
      </c>
    </row>
    <row r="207" spans="1:8" x14ac:dyDescent="0.3">
      <c r="A207">
        <v>19</v>
      </c>
      <c r="B207" t="s">
        <v>204</v>
      </c>
      <c r="C207">
        <v>5737.1</v>
      </c>
      <c r="D207">
        <v>0</v>
      </c>
      <c r="E207">
        <f t="shared" si="29"/>
        <v>5737.1</v>
      </c>
      <c r="F207">
        <v>0</v>
      </c>
      <c r="G207">
        <v>0</v>
      </c>
      <c r="H207">
        <f t="shared" si="30"/>
        <v>5737.1</v>
      </c>
    </row>
    <row r="208" spans="1:8" x14ac:dyDescent="0.3">
      <c r="A208">
        <v>20</v>
      </c>
      <c r="B208" t="s">
        <v>205</v>
      </c>
      <c r="C208">
        <v>5636.4</v>
      </c>
      <c r="D208">
        <v>0</v>
      </c>
      <c r="E208">
        <f t="shared" si="29"/>
        <v>5636.4</v>
      </c>
      <c r="F208">
        <v>0</v>
      </c>
      <c r="G208" s="4">
        <f>MIN($C$28,MAX(0,E208-$E$216))</f>
        <v>5636.4</v>
      </c>
      <c r="H208" s="4">
        <f t="shared" si="30"/>
        <v>0</v>
      </c>
    </row>
    <row r="209" spans="1:8" x14ac:dyDescent="0.3">
      <c r="A209">
        <v>21</v>
      </c>
      <c r="B209" t="s">
        <v>205</v>
      </c>
      <c r="C209">
        <v>5284.1</v>
      </c>
      <c r="D209">
        <v>0</v>
      </c>
      <c r="E209">
        <f t="shared" si="29"/>
        <v>5284.1</v>
      </c>
      <c r="F209">
        <v>0</v>
      </c>
      <c r="G209" s="4">
        <f>MIN($C$28,MAX(0,E209-$E$216))</f>
        <v>5284.1</v>
      </c>
      <c r="H209" s="4">
        <f t="shared" si="30"/>
        <v>0</v>
      </c>
    </row>
    <row r="210" spans="1:8" x14ac:dyDescent="0.3">
      <c r="A210">
        <v>22</v>
      </c>
      <c r="B210" t="s">
        <v>204</v>
      </c>
      <c r="C210">
        <v>4780.8999999999996</v>
      </c>
      <c r="D210">
        <v>0</v>
      </c>
      <c r="E210">
        <f t="shared" si="29"/>
        <v>4780.8999999999996</v>
      </c>
      <c r="F210">
        <v>0</v>
      </c>
      <c r="G210">
        <v>0</v>
      </c>
      <c r="H210">
        <f t="shared" si="30"/>
        <v>4780.8999999999996</v>
      </c>
    </row>
    <row r="211" spans="1:8" x14ac:dyDescent="0.3">
      <c r="A211">
        <v>23</v>
      </c>
      <c r="B211" t="s">
        <v>204</v>
      </c>
      <c r="C211">
        <v>4428.6000000000004</v>
      </c>
      <c r="D211">
        <v>0</v>
      </c>
      <c r="E211">
        <f t="shared" si="29"/>
        <v>4428.6000000000004</v>
      </c>
      <c r="F211">
        <v>0</v>
      </c>
      <c r="G211">
        <v>0</v>
      </c>
      <c r="H211">
        <f t="shared" si="30"/>
        <v>4428.6000000000004</v>
      </c>
    </row>
    <row r="213" spans="1:8" x14ac:dyDescent="0.3">
      <c r="A213" s="27" t="s">
        <v>218</v>
      </c>
    </row>
    <row r="214" spans="1:8" x14ac:dyDescent="0.3">
      <c r="A214" t="s">
        <v>210</v>
      </c>
      <c r="E214" s="21">
        <f>MAX(E208:E209)</f>
        <v>5636.4</v>
      </c>
    </row>
    <row r="215" spans="1:8" x14ac:dyDescent="0.3">
      <c r="A215" t="s">
        <v>211</v>
      </c>
      <c r="E215" s="21">
        <f>$C$30</f>
        <v>10980.611810784314</v>
      </c>
    </row>
    <row r="216" spans="1:8" x14ac:dyDescent="0.3">
      <c r="A216" t="s">
        <v>212</v>
      </c>
      <c r="E216" s="21">
        <f>MAX(0,(SUM(E208:E209)-MIN($C$30,SUM(E208:E209)))/2)</f>
        <v>0</v>
      </c>
    </row>
    <row r="217" spans="1:8" x14ac:dyDescent="0.3">
      <c r="A217" t="s">
        <v>213</v>
      </c>
      <c r="E217" s="21">
        <f>MAX(H208:H209)</f>
        <v>0</v>
      </c>
    </row>
    <row r="218" spans="1:8" x14ac:dyDescent="0.3">
      <c r="A218" s="27" t="s">
        <v>214</v>
      </c>
      <c r="E218" s="29">
        <f>E214-E217</f>
        <v>5636.4</v>
      </c>
    </row>
    <row r="219" spans="1:8" x14ac:dyDescent="0.3">
      <c r="A219" s="28" t="s">
        <v>219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18" width="14" customWidth="1"/>
  </cols>
  <sheetData>
    <row r="1" spans="1:14" x14ac:dyDescent="0.3">
      <c r="A1" s="1" t="s">
        <v>207</v>
      </c>
    </row>
    <row r="3" spans="1:14" x14ac:dyDescent="0.3">
      <c r="A3" s="1" t="s">
        <v>83</v>
      </c>
    </row>
    <row r="4" spans="1:14" x14ac:dyDescent="0.3">
      <c r="A4" s="17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17" t="s">
        <v>97</v>
      </c>
    </row>
    <row r="5" spans="1:14" x14ac:dyDescent="0.3">
      <c r="A5" t="s">
        <v>98</v>
      </c>
      <c r="B5" s="4">
        <v>960467</v>
      </c>
      <c r="C5" s="4">
        <v>923339</v>
      </c>
      <c r="D5" s="4">
        <v>765377</v>
      </c>
      <c r="E5" s="4">
        <v>900504</v>
      </c>
      <c r="F5" s="4">
        <v>746286</v>
      </c>
      <c r="G5" s="4">
        <v>754528</v>
      </c>
      <c r="H5" s="4">
        <v>756600</v>
      </c>
      <c r="I5" s="4">
        <v>741947</v>
      </c>
      <c r="J5" s="4">
        <v>881325</v>
      </c>
      <c r="K5" s="4">
        <v>805606</v>
      </c>
      <c r="L5" s="4">
        <v>960995</v>
      </c>
      <c r="M5" s="4">
        <v>891289</v>
      </c>
      <c r="N5" s="9">
        <f>SUM(B5:M5)</f>
        <v>10088263</v>
      </c>
    </row>
    <row r="6" spans="1:14" x14ac:dyDescent="0.3">
      <c r="A6" t="s">
        <v>99</v>
      </c>
      <c r="B6" s="4">
        <v>1696392</v>
      </c>
      <c r="C6" s="4">
        <v>1593739</v>
      </c>
      <c r="D6" s="4">
        <v>1464549</v>
      </c>
      <c r="E6" s="4">
        <v>1602297</v>
      </c>
      <c r="F6" s="4">
        <v>1358643</v>
      </c>
      <c r="G6" s="4">
        <v>1417944</v>
      </c>
      <c r="H6" s="4">
        <v>1150215</v>
      </c>
      <c r="I6" s="4">
        <v>1178280</v>
      </c>
      <c r="J6" s="4">
        <v>1481542</v>
      </c>
      <c r="K6" s="4">
        <v>1252899</v>
      </c>
      <c r="L6" s="4">
        <v>1426117</v>
      </c>
      <c r="M6" s="4">
        <v>1620825</v>
      </c>
      <c r="N6" s="9">
        <f>SUM(B6:M6)</f>
        <v>17243442</v>
      </c>
    </row>
    <row r="7" spans="1:14" x14ac:dyDescent="0.3">
      <c r="A7" t="s">
        <v>100</v>
      </c>
      <c r="B7" s="4">
        <v>162699</v>
      </c>
      <c r="C7" s="4">
        <v>157968</v>
      </c>
      <c r="D7" s="4">
        <v>150284</v>
      </c>
      <c r="E7" s="4">
        <v>152370</v>
      </c>
      <c r="F7" s="4">
        <v>130996</v>
      </c>
      <c r="G7" s="4">
        <v>176270</v>
      </c>
      <c r="H7" s="4">
        <v>278429</v>
      </c>
      <c r="I7" s="4">
        <v>273186</v>
      </c>
      <c r="J7" s="4">
        <v>365971</v>
      </c>
      <c r="K7" s="4">
        <v>303074</v>
      </c>
      <c r="L7" s="4">
        <v>335764</v>
      </c>
      <c r="M7" s="4">
        <v>207717</v>
      </c>
      <c r="N7" s="9">
        <f>SUM(B7:M7)</f>
        <v>2694728</v>
      </c>
    </row>
    <row r="8" spans="1:14" x14ac:dyDescent="0.3">
      <c r="A8" t="s">
        <v>101</v>
      </c>
      <c r="B8" s="4">
        <f t="shared" ref="B8:M8" si="0">SUM(B5:B7)</f>
        <v>2819558</v>
      </c>
      <c r="C8" s="4">
        <f t="shared" si="0"/>
        <v>2675046</v>
      </c>
      <c r="D8" s="4">
        <f t="shared" si="0"/>
        <v>2380210</v>
      </c>
      <c r="E8" s="4">
        <f t="shared" si="0"/>
        <v>2655171</v>
      </c>
      <c r="F8" s="4">
        <f t="shared" si="0"/>
        <v>2235925</v>
      </c>
      <c r="G8" s="4">
        <f t="shared" si="0"/>
        <v>2348742</v>
      </c>
      <c r="H8" s="4">
        <f t="shared" si="0"/>
        <v>2185244</v>
      </c>
      <c r="I8" s="4">
        <f t="shared" si="0"/>
        <v>2193413</v>
      </c>
      <c r="J8" s="4">
        <f t="shared" si="0"/>
        <v>2728838</v>
      </c>
      <c r="K8" s="4">
        <f t="shared" si="0"/>
        <v>2361579</v>
      </c>
      <c r="L8" s="4">
        <f t="shared" si="0"/>
        <v>2722876</v>
      </c>
      <c r="M8" s="4">
        <f t="shared" si="0"/>
        <v>2719831</v>
      </c>
      <c r="N8" s="9">
        <f>SUM(B8:M8)</f>
        <v>30026433</v>
      </c>
    </row>
    <row r="9" spans="1:14" x14ac:dyDescent="0.3">
      <c r="A9" t="s">
        <v>102</v>
      </c>
      <c r="B9" s="4">
        <v>4081</v>
      </c>
      <c r="C9" s="4">
        <v>4146</v>
      </c>
      <c r="D9" s="4">
        <v>3935</v>
      </c>
      <c r="E9" s="4">
        <v>3868</v>
      </c>
      <c r="F9" s="4">
        <v>3761</v>
      </c>
      <c r="G9" s="4">
        <v>3121</v>
      </c>
      <c r="H9" s="4">
        <v>3661</v>
      </c>
      <c r="I9" s="4">
        <v>3968</v>
      </c>
      <c r="J9" s="4">
        <v>4272</v>
      </c>
      <c r="K9" s="4">
        <v>4136</v>
      </c>
      <c r="L9" s="4">
        <v>4183</v>
      </c>
      <c r="M9" s="4">
        <v>4106</v>
      </c>
      <c r="N9" s="9">
        <f>MAX(B9:M9)</f>
        <v>4272</v>
      </c>
    </row>
    <row r="10" spans="1:14" x14ac:dyDescent="0.3">
      <c r="A10" t="s">
        <v>103</v>
      </c>
      <c r="B10" s="4">
        <v>4308</v>
      </c>
      <c r="C10" s="4">
        <v>4228</v>
      </c>
      <c r="D10" s="4">
        <v>3987</v>
      </c>
      <c r="E10" s="4">
        <v>4012</v>
      </c>
      <c r="F10" s="4">
        <v>3791</v>
      </c>
      <c r="G10" s="4">
        <v>3433</v>
      </c>
      <c r="H10" s="4">
        <v>3772</v>
      </c>
      <c r="I10" s="4">
        <v>3985</v>
      </c>
      <c r="J10" s="4">
        <v>4350</v>
      </c>
      <c r="K10" s="4">
        <v>4251</v>
      </c>
      <c r="L10" s="4">
        <v>4350</v>
      </c>
      <c r="M10" s="4">
        <v>4250</v>
      </c>
      <c r="N10" s="9">
        <f>MAX(B10:M10)</f>
        <v>4350</v>
      </c>
    </row>
    <row r="11" spans="1:14" x14ac:dyDescent="0.3">
      <c r="A11" t="s">
        <v>104</v>
      </c>
      <c r="B11" s="18">
        <v>22</v>
      </c>
      <c r="C11" s="18">
        <v>21</v>
      </c>
      <c r="D11" s="18">
        <v>23</v>
      </c>
      <c r="E11" s="18">
        <v>21</v>
      </c>
      <c r="F11" s="18">
        <v>22</v>
      </c>
      <c r="G11" s="18">
        <v>23</v>
      </c>
      <c r="H11" s="18">
        <v>25</v>
      </c>
      <c r="I11" s="18">
        <v>27</v>
      </c>
      <c r="J11" s="18">
        <v>27</v>
      </c>
      <c r="K11" s="18">
        <v>24</v>
      </c>
      <c r="L11" s="18">
        <v>26</v>
      </c>
      <c r="M11" s="18">
        <v>23</v>
      </c>
    </row>
    <row r="12" spans="1:14" x14ac:dyDescent="0.3">
      <c r="A12" t="s">
        <v>105</v>
      </c>
      <c r="B12" s="19">
        <v>2</v>
      </c>
      <c r="C12" s="19">
        <v>2</v>
      </c>
      <c r="D12" s="19">
        <v>2</v>
      </c>
      <c r="E12" s="19">
        <v>2</v>
      </c>
      <c r="F12" s="19">
        <v>2</v>
      </c>
      <c r="G12" s="19">
        <v>2.4300000000000002</v>
      </c>
      <c r="H12" s="19">
        <v>3.6</v>
      </c>
      <c r="I12" s="19">
        <v>3.7</v>
      </c>
      <c r="J12" s="19">
        <v>3.63</v>
      </c>
      <c r="K12" s="19">
        <v>3.67</v>
      </c>
      <c r="L12" s="19">
        <v>3.69</v>
      </c>
      <c r="M12" s="19">
        <v>2.2599999999999998</v>
      </c>
    </row>
    <row r="13" spans="1:14" x14ac:dyDescent="0.3">
      <c r="A13" t="s">
        <v>106</v>
      </c>
      <c r="B13" s="18">
        <v>31</v>
      </c>
      <c r="C13" s="18">
        <v>30</v>
      </c>
      <c r="D13" s="18">
        <v>31</v>
      </c>
      <c r="E13" s="18">
        <v>31</v>
      </c>
      <c r="F13" s="18">
        <v>30</v>
      </c>
      <c r="G13" s="18">
        <v>31</v>
      </c>
      <c r="H13" s="18">
        <v>30</v>
      </c>
      <c r="I13" s="18">
        <v>31</v>
      </c>
      <c r="J13" s="18">
        <v>31</v>
      </c>
      <c r="K13" s="18">
        <v>28</v>
      </c>
      <c r="L13" s="18">
        <v>31</v>
      </c>
      <c r="M13" s="18">
        <v>30</v>
      </c>
    </row>
    <row r="14" spans="1:14" x14ac:dyDescent="0.3">
      <c r="A14" t="s">
        <v>107</v>
      </c>
      <c r="B14" s="8">
        <v>1.1749000000000001</v>
      </c>
      <c r="C14" s="8">
        <v>1.1982999999999999</v>
      </c>
      <c r="D14" s="8">
        <v>1.2133</v>
      </c>
      <c r="E14" s="8">
        <v>1.2146999999999999</v>
      </c>
      <c r="F14" s="8">
        <v>1.2095</v>
      </c>
      <c r="G14" s="8">
        <v>1.2095</v>
      </c>
      <c r="H14" s="8">
        <v>1.1791</v>
      </c>
      <c r="I14" s="8">
        <v>1.1301000000000001</v>
      </c>
      <c r="J14" s="8">
        <v>1.1060000000000001</v>
      </c>
      <c r="K14" s="8">
        <v>1.1065</v>
      </c>
      <c r="L14" s="8">
        <v>1.1071</v>
      </c>
      <c r="M14" s="8">
        <v>1.107</v>
      </c>
    </row>
    <row r="15" spans="1:14" x14ac:dyDescent="0.3">
      <c r="A15" t="s">
        <v>108</v>
      </c>
      <c r="B15" s="8">
        <v>1.9421999999999999</v>
      </c>
      <c r="C15" s="8">
        <v>1.9837</v>
      </c>
      <c r="D15" s="8">
        <v>2.0106000000000002</v>
      </c>
      <c r="E15" s="8">
        <v>2.0131000000000001</v>
      </c>
      <c r="F15" s="8">
        <v>2.0005000000000002</v>
      </c>
      <c r="G15" s="8">
        <v>2.0005999999999999</v>
      </c>
      <c r="H15" s="8">
        <v>1.9463999999999999</v>
      </c>
      <c r="I15" s="8">
        <v>1.859</v>
      </c>
      <c r="J15" s="8">
        <v>1.8185</v>
      </c>
      <c r="K15" s="8">
        <v>1.8193999999999999</v>
      </c>
      <c r="L15" s="8">
        <v>1.8204</v>
      </c>
      <c r="M15" s="8">
        <v>1.8204</v>
      </c>
    </row>
    <row r="16" spans="1:14" x14ac:dyDescent="0.3">
      <c r="A16" t="s">
        <v>109</v>
      </c>
      <c r="B16" s="8">
        <v>2.2730000000000001</v>
      </c>
      <c r="C16" s="8">
        <v>2.3224</v>
      </c>
      <c r="D16" s="8">
        <v>2.3544</v>
      </c>
      <c r="E16" s="8">
        <v>2.3574000000000002</v>
      </c>
      <c r="F16" s="8">
        <v>2.3416999999999999</v>
      </c>
      <c r="G16" s="8">
        <v>2.3416999999999999</v>
      </c>
      <c r="H16" s="8">
        <v>2.2772999999999999</v>
      </c>
      <c r="I16" s="8">
        <v>2.1734</v>
      </c>
      <c r="J16" s="8">
        <v>2.1257999999999999</v>
      </c>
      <c r="K16" s="8">
        <v>2.1269</v>
      </c>
      <c r="L16" s="8">
        <v>2.1280999999999999</v>
      </c>
      <c r="M16" s="8">
        <v>2.1280000000000001</v>
      </c>
    </row>
    <row r="17" spans="1:14" x14ac:dyDescent="0.3">
      <c r="A17" t="s">
        <v>110</v>
      </c>
      <c r="B17" s="20">
        <v>432.62</v>
      </c>
      <c r="C17" s="20">
        <v>442.9</v>
      </c>
      <c r="D17" s="20">
        <v>449.54</v>
      </c>
      <c r="E17" s="20">
        <v>450.17</v>
      </c>
      <c r="F17" s="20">
        <v>446.05</v>
      </c>
      <c r="G17" s="20">
        <v>446.05</v>
      </c>
      <c r="H17" s="20">
        <v>432.66</v>
      </c>
      <c r="I17" s="20">
        <v>411.03</v>
      </c>
      <c r="J17" s="20">
        <v>401.78</v>
      </c>
      <c r="K17" s="20">
        <v>402.01</v>
      </c>
      <c r="L17" s="20">
        <v>402.26</v>
      </c>
      <c r="M17" s="20">
        <v>402.24</v>
      </c>
    </row>
    <row r="18" spans="1:14" x14ac:dyDescent="0.3">
      <c r="A18" t="s">
        <v>111</v>
      </c>
      <c r="B18" s="20">
        <v>91.12</v>
      </c>
      <c r="C18" s="20">
        <v>91.12</v>
      </c>
      <c r="D18" s="20">
        <v>91.12</v>
      </c>
      <c r="E18" s="20">
        <v>91.12</v>
      </c>
      <c r="F18" s="20">
        <v>91.12</v>
      </c>
      <c r="G18" s="20">
        <v>91.12</v>
      </c>
      <c r="H18" s="20">
        <v>91.12</v>
      </c>
      <c r="I18" s="20">
        <v>91.12</v>
      </c>
      <c r="J18" s="20">
        <v>86.15</v>
      </c>
      <c r="K18" s="20">
        <v>86.15</v>
      </c>
      <c r="L18" s="20">
        <v>86.15</v>
      </c>
      <c r="M18" s="20">
        <v>86.15</v>
      </c>
    </row>
    <row r="19" spans="1:14" x14ac:dyDescent="0.3">
      <c r="A19" t="s">
        <v>112</v>
      </c>
      <c r="B19" s="4">
        <v>6541897.9830999998</v>
      </c>
      <c r="C19" s="4">
        <v>6373529.8679999998</v>
      </c>
      <c r="D19" s="4">
        <v>4791535.4014000008</v>
      </c>
      <c r="E19" s="4">
        <v>5398272.1167000001</v>
      </c>
      <c r="F19" s="4">
        <v>4614409.22</v>
      </c>
      <c r="G19" s="4">
        <v>4790415.3733000001</v>
      </c>
      <c r="H19" s="4">
        <v>4274575.4512</v>
      </c>
      <c r="I19" s="4">
        <v>4286090.1782999998</v>
      </c>
      <c r="J19" s="4">
        <v>5344856.9064999996</v>
      </c>
      <c r="K19" s="4">
        <v>4464979.3316000011</v>
      </c>
      <c r="L19" s="4">
        <v>6189354.2948000003</v>
      </c>
      <c r="M19" s="4">
        <v>6453686.4024999999</v>
      </c>
      <c r="N19" s="9">
        <f>SUM(B19:M19)</f>
        <v>63523602.527400002</v>
      </c>
    </row>
    <row r="20" spans="1:14" x14ac:dyDescent="0.3">
      <c r="A20" t="s">
        <v>113</v>
      </c>
      <c r="B20" s="4">
        <f>B8/(24*B13*Supuestos!$B$15)</f>
        <v>6648.6464817958877</v>
      </c>
      <c r="C20" s="4">
        <f>C8/(24*C13*Supuestos!$B$15)</f>
        <v>6518.1432748538018</v>
      </c>
      <c r="D20" s="4">
        <f>D8/(24*D13*Supuestos!$B$15)</f>
        <v>5612.6438407847581</v>
      </c>
      <c r="E20" s="4">
        <f>E8/(24*E13*Supuestos!$B$15)</f>
        <v>6261.0144312393886</v>
      </c>
      <c r="F20" s="4">
        <f>F8/(24*F13*Supuestos!$B$15)</f>
        <v>5448.160331384016</v>
      </c>
      <c r="G20" s="4">
        <f>G8/(24*G13*Supuestos!$B$15)</f>
        <v>5538.4408602150543</v>
      </c>
      <c r="H20" s="4">
        <f>H8/(24*H13*Supuestos!$B$15)</f>
        <v>5324.6686159844057</v>
      </c>
      <c r="I20" s="4">
        <f>I8/(24*I13*Supuestos!$B$15)</f>
        <v>5172.1679871722317</v>
      </c>
      <c r="J20" s="4">
        <f>J8/(24*J13*Supuestos!$B$15)</f>
        <v>6434.7245802678744</v>
      </c>
      <c r="K20" s="4">
        <f>K8/(24*K13*Supuestos!$B$15)</f>
        <v>6165.3587092731832</v>
      </c>
      <c r="L20" s="4">
        <f>L8/(24*L13*Supuestos!$B$15)</f>
        <v>6420.6659120920585</v>
      </c>
      <c r="M20" s="4">
        <f>M8/(24*M13*Supuestos!$B$15)</f>
        <v>6627.2685185185192</v>
      </c>
    </row>
    <row r="21" spans="1:14" x14ac:dyDescent="0.3">
      <c r="A21" t="s">
        <v>114</v>
      </c>
      <c r="B21" s="21">
        <v>143.096</v>
      </c>
      <c r="C21" s="21">
        <v>133.91999999999999</v>
      </c>
      <c r="D21" s="21">
        <v>135.16</v>
      </c>
      <c r="E21" s="21">
        <v>126.48</v>
      </c>
      <c r="F21" s="21">
        <v>119.52</v>
      </c>
      <c r="G21" s="21">
        <v>131.68799999999999</v>
      </c>
      <c r="H21" s="21">
        <v>136.56</v>
      </c>
      <c r="I21" s="21">
        <v>130.94399999999999</v>
      </c>
      <c r="J21" s="21">
        <v>142.84800000000001</v>
      </c>
      <c r="K21" s="21">
        <v>139.10400000000001</v>
      </c>
      <c r="L21" s="21">
        <v>170.12799999999999</v>
      </c>
      <c r="M21" s="21">
        <v>150.72</v>
      </c>
      <c r="N21" s="22">
        <f>SUM(B21:M21)</f>
        <v>1660.1679999999999</v>
      </c>
    </row>
    <row r="23" spans="1:14" x14ac:dyDescent="0.3">
      <c r="A23" s="1" t="s">
        <v>115</v>
      </c>
    </row>
    <row r="24" spans="1:14" x14ac:dyDescent="0.3">
      <c r="A24" s="17" t="s">
        <v>116</v>
      </c>
      <c r="C24" s="2" t="s">
        <v>117</v>
      </c>
      <c r="D24" s="2" t="s">
        <v>118</v>
      </c>
    </row>
    <row r="25" spans="1:14" x14ac:dyDescent="0.3">
      <c r="A25" t="s">
        <v>119</v>
      </c>
      <c r="C25" t="s">
        <v>120</v>
      </c>
      <c r="D25" t="s">
        <v>121</v>
      </c>
    </row>
    <row r="26" spans="1:14" x14ac:dyDescent="0.3">
      <c r="A26" t="s">
        <v>122</v>
      </c>
      <c r="C26" s="23">
        <v>1255.7</v>
      </c>
      <c r="D26" s="23">
        <v>839.45</v>
      </c>
    </row>
    <row r="27" spans="1:14" x14ac:dyDescent="0.3">
      <c r="A27" t="s">
        <v>123</v>
      </c>
      <c r="C27" s="4">
        <f>C26*Supuestos!$B$24</f>
        <v>5022.8</v>
      </c>
      <c r="D27" s="4">
        <f>D26*Supuestos!$B$24</f>
        <v>3357.8</v>
      </c>
    </row>
    <row r="28" spans="1:14" x14ac:dyDescent="0.3">
      <c r="A28" t="s">
        <v>124</v>
      </c>
      <c r="C28" s="23">
        <v>3870</v>
      </c>
      <c r="D28" s="23">
        <v>3870</v>
      </c>
    </row>
    <row r="29" spans="1:14" x14ac:dyDescent="0.3">
      <c r="A29" t="s">
        <v>125</v>
      </c>
      <c r="C29" s="23">
        <v>7741</v>
      </c>
      <c r="D29" s="23">
        <v>7741</v>
      </c>
    </row>
    <row r="30" spans="1:14" x14ac:dyDescent="0.3">
      <c r="A30" t="s">
        <v>126</v>
      </c>
      <c r="C30" s="4">
        <f>C29*Supuestos!$B$13*SQRT(Supuestos!$B$14)</f>
        <v>7281.2160379716788</v>
      </c>
      <c r="D30" s="4">
        <f>D29*Supuestos!$B$13*SQRT(Supuestos!$B$14)</f>
        <v>7281.2160379716788</v>
      </c>
    </row>
    <row r="31" spans="1:14" x14ac:dyDescent="0.3">
      <c r="A31" t="s">
        <v>127</v>
      </c>
      <c r="C31" s="24">
        <v>1.3526645380146771</v>
      </c>
      <c r="D31" s="24">
        <v>1.6148562209476132</v>
      </c>
    </row>
    <row r="32" spans="1:14" x14ac:dyDescent="0.3">
      <c r="A32" t="s">
        <v>128</v>
      </c>
      <c r="C32" s="7">
        <f>Supuestos!$B$17</f>
        <v>0.5</v>
      </c>
      <c r="D32" s="7">
        <f>Supuestos!$B$17</f>
        <v>0.5</v>
      </c>
    </row>
    <row r="33" spans="1:4" x14ac:dyDescent="0.3">
      <c r="A33" t="s">
        <v>129</v>
      </c>
      <c r="C33" s="4">
        <f>C26*1000*Supuestos!$B$5</f>
        <v>816205</v>
      </c>
      <c r="D33" s="4">
        <f>D26*1000*Supuestos!$B$5</f>
        <v>545642.5</v>
      </c>
    </row>
    <row r="34" spans="1:4" x14ac:dyDescent="0.3">
      <c r="A34" t="s">
        <v>130</v>
      </c>
      <c r="C34" s="4">
        <f>C33*Supuestos!$B$4</f>
        <v>14324397.75</v>
      </c>
      <c r="D34" s="4">
        <f>D33*Supuestos!$B$4</f>
        <v>9576025.875</v>
      </c>
    </row>
    <row r="35" spans="1:4" x14ac:dyDescent="0.3">
      <c r="A35" t="s">
        <v>131</v>
      </c>
      <c r="C35" s="4">
        <f>C29*1000*Supuestos!$B$7</f>
        <v>2167480</v>
      </c>
      <c r="D35" s="4">
        <f>D29*1000*Supuestos!$B$7</f>
        <v>2167480</v>
      </c>
    </row>
    <row r="36" spans="1:4" x14ac:dyDescent="0.3">
      <c r="A36" t="s">
        <v>132</v>
      </c>
      <c r="C36" s="4">
        <f>C35*Supuestos!$B$4</f>
        <v>38039274</v>
      </c>
      <c r="D36" s="4">
        <f>D35*Supuestos!$B$4</f>
        <v>38039274</v>
      </c>
    </row>
    <row r="37" spans="1:4" x14ac:dyDescent="0.3">
      <c r="A37" s="25" t="s">
        <v>133</v>
      </c>
      <c r="B37" s="26"/>
      <c r="C37" s="26"/>
      <c r="D37" s="26"/>
    </row>
    <row r="38" spans="1:4" x14ac:dyDescent="0.3">
      <c r="A38" t="s">
        <v>134</v>
      </c>
      <c r="C38" s="23">
        <v>22509979.70947725</v>
      </c>
      <c r="D38" s="4">
        <f>C38</f>
        <v>22509979.70947725</v>
      </c>
    </row>
    <row r="39" spans="1:4" x14ac:dyDescent="0.3">
      <c r="A39" t="s">
        <v>135</v>
      </c>
      <c r="C39" s="23">
        <f>$N$19+C38</f>
        <v>86033582.236877248</v>
      </c>
      <c r="D39" s="23">
        <f>$N$19+D38</f>
        <v>86033582.236877248</v>
      </c>
    </row>
    <row r="40" spans="1:4" x14ac:dyDescent="0.3">
      <c r="A40" t="s">
        <v>136</v>
      </c>
      <c r="C40" s="4">
        <f>C39-C38</f>
        <v>63523602.527400002</v>
      </c>
      <c r="D40" s="4">
        <f>D39-D38</f>
        <v>63523602.527400002</v>
      </c>
    </row>
    <row r="41" spans="1:4" x14ac:dyDescent="0.3">
      <c r="A41" t="s">
        <v>137</v>
      </c>
      <c r="C41" s="4">
        <f>C72</f>
        <v>2084672.9575999998</v>
      </c>
      <c r="D41" s="4">
        <f>C89</f>
        <v>1393628.0276000001</v>
      </c>
    </row>
    <row r="42" spans="1:4" x14ac:dyDescent="0.3">
      <c r="A42" t="s">
        <v>138</v>
      </c>
      <c r="C42" s="4">
        <f>K72</f>
        <v>2084672.9576012848</v>
      </c>
      <c r="D42" s="4">
        <f>K89</f>
        <v>1393628.0276015038</v>
      </c>
    </row>
    <row r="43" spans="1:4" x14ac:dyDescent="0.3">
      <c r="A43" t="s">
        <v>139</v>
      </c>
      <c r="C43" s="4">
        <f>M72</f>
        <v>3768609.8232133416</v>
      </c>
      <c r="D43" s="4">
        <f>M89</f>
        <v>2519359.8322272613</v>
      </c>
    </row>
    <row r="44" spans="1:4" x14ac:dyDescent="0.3">
      <c r="A44" t="s">
        <v>140</v>
      </c>
      <c r="C44" s="4">
        <f>R72*(12-Supuestos!$B$16)/12</f>
        <v>12530013.092158996</v>
      </c>
      <c r="D44" s="4">
        <f>R89*(12-Supuestos!$B$16)/12</f>
        <v>12530013.092158996</v>
      </c>
    </row>
    <row r="45" spans="1:4" x14ac:dyDescent="0.3">
      <c r="A45" s="3" t="s">
        <v>141</v>
      </c>
      <c r="C45" s="6">
        <f>C43+C44</f>
        <v>16298622.915372338</v>
      </c>
      <c r="D45" s="6">
        <f>D43+D44</f>
        <v>15049372.924386257</v>
      </c>
    </row>
    <row r="46" spans="1:4" x14ac:dyDescent="0.3">
      <c r="A46" t="s">
        <v>142</v>
      </c>
      <c r="C46" s="4">
        <f>C42*C31</f>
        <v>2302729.7489663791</v>
      </c>
      <c r="D46" s="4">
        <f>D42*D31</f>
        <v>1539401.5192886211</v>
      </c>
    </row>
    <row r="47" spans="1:4" x14ac:dyDescent="0.3">
      <c r="A47" t="s">
        <v>143</v>
      </c>
      <c r="C47" s="4">
        <f>C44*C32</f>
        <v>6265006.5460794978</v>
      </c>
      <c r="D47" s="4">
        <f>D44*D32</f>
        <v>6265006.5460794978</v>
      </c>
    </row>
    <row r="48" spans="1:4" x14ac:dyDescent="0.3">
      <c r="A48" s="3" t="s">
        <v>144</v>
      </c>
      <c r="C48" s="6">
        <f>C45-C46-C47</f>
        <v>7730886.6203264613</v>
      </c>
      <c r="D48" s="6">
        <f>D45-D46-D47</f>
        <v>7244964.8590181377</v>
      </c>
    </row>
    <row r="49" spans="1:20" x14ac:dyDescent="0.3">
      <c r="A49" t="s">
        <v>145</v>
      </c>
      <c r="C49" s="7">
        <f>C45/$N$19</f>
        <v>0.25657585947431366</v>
      </c>
      <c r="D49" s="7">
        <f>D45/$N$19</f>
        <v>0.23690994096084089</v>
      </c>
    </row>
    <row r="50" spans="1:20" x14ac:dyDescent="0.3">
      <c r="A50" t="s">
        <v>146</v>
      </c>
      <c r="C50" s="7">
        <f>C48/$N$19</f>
        <v>0.12170101053371231</v>
      </c>
      <c r="D50" s="7">
        <f>D48/$N$19</f>
        <v>0.11405154258833361</v>
      </c>
    </row>
    <row r="51" spans="1:20" x14ac:dyDescent="0.3">
      <c r="A51" t="s">
        <v>147</v>
      </c>
      <c r="C51" s="7">
        <f>IRR(M94:M114)</f>
        <v>0.14109903208916652</v>
      </c>
      <c r="D51" s="7">
        <f>IRR(M119:M139)</f>
        <v>0.14109903208926866</v>
      </c>
    </row>
    <row r="52" spans="1:20" x14ac:dyDescent="0.3">
      <c r="A52" t="s">
        <v>148</v>
      </c>
      <c r="C52" s="7">
        <f>IRR(N94:N114)</f>
        <v>0.134790335035055</v>
      </c>
      <c r="D52" s="7">
        <f>IRR(N119:N139)</f>
        <v>0.134790335035055</v>
      </c>
    </row>
    <row r="53" spans="1:20" x14ac:dyDescent="0.3">
      <c r="A53" t="s">
        <v>149</v>
      </c>
      <c r="C53" s="7">
        <v>0.5655</v>
      </c>
      <c r="D53" s="7">
        <v>0.5655</v>
      </c>
    </row>
    <row r="54" spans="1:20" x14ac:dyDescent="0.3">
      <c r="A54" t="s">
        <v>150</v>
      </c>
      <c r="C54" s="18">
        <f>COUNTIF(O94:O114,"&lt;0")</f>
        <v>7</v>
      </c>
      <c r="D54" s="18">
        <f>COUNTIF(O119:O139,"&lt;0")</f>
        <v>7</v>
      </c>
    </row>
    <row r="55" spans="1:20" x14ac:dyDescent="0.3">
      <c r="A55" t="s">
        <v>151</v>
      </c>
      <c r="C55" s="4">
        <f>NPV(Supuestos!$B$21,J95:J114)</f>
        <v>92850208.459160388</v>
      </c>
      <c r="D55" s="4">
        <f>NPV(Supuestos!$B$21,J120:J139)</f>
        <v>86043252.424495056</v>
      </c>
    </row>
    <row r="58" spans="1:20" x14ac:dyDescent="0.3">
      <c r="A58" s="1" t="s">
        <v>152</v>
      </c>
    </row>
    <row r="59" spans="1:20" x14ac:dyDescent="0.3">
      <c r="B59" s="2" t="s">
        <v>84</v>
      </c>
      <c r="C59" s="2" t="s">
        <v>153</v>
      </c>
      <c r="D59" s="2" t="s">
        <v>154</v>
      </c>
      <c r="E59" s="2" t="s">
        <v>155</v>
      </c>
      <c r="F59" s="2" t="s">
        <v>156</v>
      </c>
      <c r="G59" s="2" t="s">
        <v>157</v>
      </c>
      <c r="H59" s="2" t="s">
        <v>158</v>
      </c>
      <c r="I59" s="2" t="s">
        <v>159</v>
      </c>
      <c r="J59" s="2" t="s">
        <v>160</v>
      </c>
      <c r="K59" s="2" t="s">
        <v>161</v>
      </c>
      <c r="L59" s="2" t="s">
        <v>220</v>
      </c>
      <c r="M59" s="2" t="s">
        <v>162</v>
      </c>
      <c r="N59" s="2" t="s">
        <v>163</v>
      </c>
      <c r="O59" s="2" t="s">
        <v>164</v>
      </c>
      <c r="P59" s="2" t="s">
        <v>165</v>
      </c>
      <c r="Q59" s="2" t="s">
        <v>221</v>
      </c>
      <c r="R59" s="2" t="s">
        <v>166</v>
      </c>
      <c r="S59" s="27" t="s">
        <v>222</v>
      </c>
      <c r="T59" s="27" t="s">
        <v>223</v>
      </c>
    </row>
    <row r="60" spans="1:20" x14ac:dyDescent="0.3">
      <c r="B60" t="s">
        <v>85</v>
      </c>
      <c r="C60" s="4">
        <f>$C$26*B$21</f>
        <v>179685.64720000001</v>
      </c>
      <c r="D60" s="7">
        <v>0.12903214092475521</v>
      </c>
      <c r="E60" s="7">
        <v>0.87096785907524488</v>
      </c>
      <c r="F60" s="7">
        <v>0</v>
      </c>
      <c r="G60" s="4">
        <f t="shared" ref="G60:G71" si="1">C60*D60</f>
        <v>23185.223751666246</v>
      </c>
      <c r="H60" s="4">
        <f t="shared" ref="H60:H71" si="2">C60*E60</f>
        <v>156500.42344833378</v>
      </c>
      <c r="I60" s="4">
        <f t="shared" ref="I60:I71" si="3">C60*F60</f>
        <v>0</v>
      </c>
      <c r="J60" s="4">
        <f>G60*B$14+H60*B$15+I60*B$16</f>
        <v>331195.44180718658</v>
      </c>
      <c r="K60" s="4">
        <f t="shared" ref="K60:K71" si="4">G60+H60+I60</f>
        <v>179685.64720000004</v>
      </c>
      <c r="L60" s="23">
        <v>0</v>
      </c>
      <c r="M60" s="4">
        <f t="shared" ref="M60:M71" si="5">J60+L60*$C$26/1255.7</f>
        <v>331195.44180718658</v>
      </c>
      <c r="N60" s="4">
        <f>MIN($C$30*B$11,$C$28*B$12*B$11,B$7)</f>
        <v>160186.75283537694</v>
      </c>
      <c r="O60" s="4">
        <f>N60/Supuestos!$B$14*B$14</f>
        <v>196045.22490237956</v>
      </c>
      <c r="P60" s="4">
        <f>N60*B$16-O60</f>
        <v>168059.26429243229</v>
      </c>
      <c r="Q60" s="4">
        <f>1574939.67419487*MIN(1,$C$30/7281.21603797167)</f>
        <v>1574939.6741948701</v>
      </c>
      <c r="R60" s="4">
        <f t="shared" ref="R60:R71" si="6">P60+Q60</f>
        <v>1742998.9384873023</v>
      </c>
      <c r="S60" s="4">
        <f>Q60/B$17</f>
        <v>3640.4689431715365</v>
      </c>
      <c r="T60" s="4">
        <f>B$9-S60</f>
        <v>440.53105682846353</v>
      </c>
    </row>
    <row r="61" spans="1:20" x14ac:dyDescent="0.3">
      <c r="B61" t="s">
        <v>86</v>
      </c>
      <c r="C61" s="4">
        <f>$C$26*C$21</f>
        <v>168163.34399999998</v>
      </c>
      <c r="D61" s="7">
        <v>0.1666656966310664</v>
      </c>
      <c r="E61" s="7">
        <v>0.83333236329773308</v>
      </c>
      <c r="F61" s="7">
        <v>0</v>
      </c>
      <c r="G61" s="4">
        <f t="shared" si="1"/>
        <v>28027.060875569656</v>
      </c>
      <c r="H61" s="4">
        <f t="shared" si="2"/>
        <v>140135.95687556965</v>
      </c>
      <c r="I61" s="4">
        <f t="shared" si="3"/>
        <v>0</v>
      </c>
      <c r="J61" s="4">
        <f>G61*C$14+H61*C$15+I61*C$16</f>
        <v>311572.52470126265</v>
      </c>
      <c r="K61" s="4">
        <f t="shared" si="4"/>
        <v>168163.0177511393</v>
      </c>
      <c r="L61" s="23">
        <v>0</v>
      </c>
      <c r="M61" s="4">
        <f t="shared" si="5"/>
        <v>311572.52470126265</v>
      </c>
      <c r="N61" s="4">
        <f>MIN($C$30*C$11,$C$28*C$12*C$11,C$7)</f>
        <v>152905.53679740525</v>
      </c>
      <c r="O61" s="4">
        <f>N61/Supuestos!$B$14*C$14</f>
        <v>190861.15077534449</v>
      </c>
      <c r="P61" s="4">
        <f>N61*C$16-O61</f>
        <v>164246.66788294949</v>
      </c>
      <c r="Q61" s="4">
        <f>1612363.58340353*MIN(1,$C$30/7281.21603797167)</f>
        <v>1612363.5834035301</v>
      </c>
      <c r="R61" s="4">
        <f t="shared" si="6"/>
        <v>1776610.2512864796</v>
      </c>
      <c r="S61" s="4">
        <f>Q61/C$17</f>
        <v>3640.4686913604205</v>
      </c>
      <c r="T61" s="4">
        <f>C$9-S61</f>
        <v>505.53130863957949</v>
      </c>
    </row>
    <row r="62" spans="1:20" x14ac:dyDescent="0.3">
      <c r="B62" t="s">
        <v>87</v>
      </c>
      <c r="C62" s="4">
        <f>$C$26*D$21</f>
        <v>169720.41200000001</v>
      </c>
      <c r="D62" s="7">
        <v>0.12903269212655491</v>
      </c>
      <c r="E62" s="7">
        <v>0.87096923014818817</v>
      </c>
      <c r="F62" s="7">
        <v>0</v>
      </c>
      <c r="G62" s="4">
        <f t="shared" si="1"/>
        <v>21899.481669188055</v>
      </c>
      <c r="H62" s="4">
        <f t="shared" si="2"/>
        <v>147821.25658007333</v>
      </c>
      <c r="I62" s="4">
        <f t="shared" si="3"/>
        <v>0</v>
      </c>
      <c r="J62" s="4">
        <f>G62*D$14+H62*D$15+I62*D$16</f>
        <v>323780.05958912132</v>
      </c>
      <c r="K62" s="4">
        <f t="shared" si="4"/>
        <v>169720.7382492614</v>
      </c>
      <c r="L62" s="23">
        <v>0</v>
      </c>
      <c r="M62" s="4">
        <f t="shared" si="5"/>
        <v>323780.05958912132</v>
      </c>
      <c r="N62" s="4">
        <f>MIN($C$30*D$11,$C$28*D$12*D$11,D$7)</f>
        <v>150284</v>
      </c>
      <c r="O62" s="4">
        <f>N62/Supuestos!$B$14*D$14</f>
        <v>189937.05958333335</v>
      </c>
      <c r="P62" s="4">
        <f>N62*D$16-O62</f>
        <v>163891.59001666665</v>
      </c>
      <c r="Q62" s="4">
        <f>1457092.76161763*MIN(1,$C$30/7281.21603797167)</f>
        <v>1457092.76161763</v>
      </c>
      <c r="R62" s="4">
        <f t="shared" si="6"/>
        <v>1620984.3516342966</v>
      </c>
      <c r="S62" s="4">
        <f>Q62/D$17</f>
        <v>3241.2972407741913</v>
      </c>
      <c r="T62" s="4">
        <f>D$9-S62</f>
        <v>693.70275922580868</v>
      </c>
    </row>
    <row r="63" spans="1:20" x14ac:dyDescent="0.3">
      <c r="B63" t="s">
        <v>88</v>
      </c>
      <c r="C63" s="4">
        <f>$C$26*E$21</f>
        <v>158820.93600000002</v>
      </c>
      <c r="D63" s="7">
        <v>0.16129118401672929</v>
      </c>
      <c r="E63" s="7">
        <v>0.83870881598327063</v>
      </c>
      <c r="F63" s="7">
        <v>0</v>
      </c>
      <c r="G63" s="4">
        <f t="shared" si="1"/>
        <v>25616.416814085187</v>
      </c>
      <c r="H63" s="4">
        <f t="shared" si="2"/>
        <v>133204.5191859148</v>
      </c>
      <c r="I63" s="4">
        <f t="shared" si="3"/>
        <v>0</v>
      </c>
      <c r="J63" s="4">
        <f>G63*E$14+H63*E$15+I63*E$16</f>
        <v>299270.27907723439</v>
      </c>
      <c r="K63" s="4">
        <f t="shared" si="4"/>
        <v>158820.93599999999</v>
      </c>
      <c r="L63" s="23">
        <v>0</v>
      </c>
      <c r="M63" s="4">
        <f t="shared" si="5"/>
        <v>299270.27907723439</v>
      </c>
      <c r="N63" s="4">
        <f>MIN($C$30*E$11,$C$28*E$12*E$11,E$7)</f>
        <v>152370</v>
      </c>
      <c r="O63" s="4">
        <f>N63/Supuestos!$B$14*E$14</f>
        <v>192795.66562499999</v>
      </c>
      <c r="P63" s="4">
        <f>N63*E$16-O63</f>
        <v>166401.37237500001</v>
      </c>
      <c r="Q63" s="4">
        <f>1637732.497317*MIN(1,$C$30/7281.21603797167)</f>
        <v>1637732.4973170001</v>
      </c>
      <c r="R63" s="4">
        <f t="shared" si="6"/>
        <v>1804133.8696920001</v>
      </c>
      <c r="S63" s="4">
        <f>Q63/E$17</f>
        <v>3638.0311822578137</v>
      </c>
      <c r="T63" s="4">
        <f>E$9-S63</f>
        <v>229.96881774218627</v>
      </c>
    </row>
    <row r="64" spans="1:20" x14ac:dyDescent="0.3">
      <c r="B64" t="s">
        <v>89</v>
      </c>
      <c r="C64" s="4">
        <f>$C$26*F$21</f>
        <v>150081.264</v>
      </c>
      <c r="D64" s="7">
        <v>0.1333330434914928</v>
      </c>
      <c r="E64" s="7">
        <v>0.86666478269470304</v>
      </c>
      <c r="F64" s="7">
        <v>0</v>
      </c>
      <c r="G64" s="4">
        <f t="shared" si="1"/>
        <v>20010.791700170212</v>
      </c>
      <c r="H64" s="4">
        <f t="shared" si="2"/>
        <v>130070.14605110635</v>
      </c>
      <c r="I64" s="4">
        <f t="shared" si="3"/>
        <v>0</v>
      </c>
      <c r="J64" s="4">
        <f>G64*F$14+H64*F$15+I64*F$16</f>
        <v>284408.37973659416</v>
      </c>
      <c r="K64" s="4">
        <f t="shared" si="4"/>
        <v>150080.93775127656</v>
      </c>
      <c r="L64" s="23">
        <v>0</v>
      </c>
      <c r="M64" s="4">
        <f t="shared" si="5"/>
        <v>284408.37973659416</v>
      </c>
      <c r="N64" s="4">
        <f>MIN($C$30*F$11,$C$28*F$12*F$11,F$7)</f>
        <v>130996</v>
      </c>
      <c r="O64" s="4">
        <f>N64/Supuestos!$B$14*F$14</f>
        <v>165041.31458333335</v>
      </c>
      <c r="P64" s="4">
        <f>N64*F$16-O64</f>
        <v>141712.01861666664</v>
      </c>
      <c r="Q64" s="4">
        <f>1397006.26244677*MIN(1,$C$30/7281.21603797167)</f>
        <v>1397006.26244677</v>
      </c>
      <c r="R64" s="4">
        <f t="shared" si="6"/>
        <v>1538718.2810634365</v>
      </c>
      <c r="S64" s="4">
        <f>Q64/F$17</f>
        <v>3131.9499214141238</v>
      </c>
      <c r="T64" s="4">
        <f>F$9-S64</f>
        <v>629.05007858587624</v>
      </c>
    </row>
    <row r="65" spans="1:20" x14ac:dyDescent="0.3">
      <c r="B65" t="s">
        <v>90</v>
      </c>
      <c r="C65" s="4">
        <f>$C$26*G$21</f>
        <v>165360.62159999998</v>
      </c>
      <c r="D65" s="7">
        <v>0.1285241903980239</v>
      </c>
      <c r="E65" s="7">
        <v>0.86893267094666315</v>
      </c>
      <c r="F65" s="7">
        <v>2.54313865531297E-3</v>
      </c>
      <c r="G65" s="4">
        <f t="shared" si="1"/>
        <v>21252.84001485398</v>
      </c>
      <c r="H65" s="4">
        <f t="shared" si="2"/>
        <v>143687.24659628846</v>
      </c>
      <c r="I65" s="4">
        <f t="shared" si="3"/>
        <v>420.53498885754084</v>
      </c>
      <c r="J65" s="4">
        <f>G65*G$14+H65*G$15+I65*G$16</f>
        <v>314150.78232190828</v>
      </c>
      <c r="K65" s="4">
        <f t="shared" si="4"/>
        <v>165360.62159999998</v>
      </c>
      <c r="L65" s="23">
        <v>0</v>
      </c>
      <c r="M65" s="4">
        <f t="shared" si="5"/>
        <v>314150.78232190828</v>
      </c>
      <c r="N65" s="4">
        <f>MIN($C$30*G$11,$C$28*G$12*G$11,G$7)</f>
        <v>167467.96887334861</v>
      </c>
      <c r="O65" s="4">
        <f>N65/Supuestos!$B$14*G$14</f>
        <v>210992.1962003283</v>
      </c>
      <c r="P65" s="4">
        <f>N65*G$16-O65</f>
        <v>181167.5465103921</v>
      </c>
      <c r="Q65" s="4">
        <f>811915.245052052*MIN(1,$C$30/7281.21603797167)</f>
        <v>811915.24505205196</v>
      </c>
      <c r="R65" s="4">
        <f t="shared" si="6"/>
        <v>993082.79156244406</v>
      </c>
      <c r="S65" s="4">
        <f>Q65/G$17</f>
        <v>1820.2337071002173</v>
      </c>
      <c r="T65" s="4">
        <f>G$9-S65</f>
        <v>1300.7662928997827</v>
      </c>
    </row>
    <row r="66" spans="1:20" x14ac:dyDescent="0.3">
      <c r="B66" t="s">
        <v>91</v>
      </c>
      <c r="C66" s="4">
        <f>$C$26*H$21</f>
        <v>171478.39200000002</v>
      </c>
      <c r="D66" s="7">
        <v>0.16925415615499059</v>
      </c>
      <c r="E66" s="7">
        <v>0.82023226523289305</v>
      </c>
      <c r="F66" s="7">
        <v>1.0513578612116299E-2</v>
      </c>
      <c r="G66" s="4">
        <f t="shared" si="1"/>
        <v>29023.430536774693</v>
      </c>
      <c r="H66" s="4">
        <f t="shared" si="2"/>
        <v>140652.10990865403</v>
      </c>
      <c r="I66" s="4">
        <f t="shared" si="3"/>
        <v>1802.8515545712951</v>
      </c>
      <c r="J66" s="4">
        <f>G66*H$14+H66*H$15+I66*H$16</f>
        <v>312092.42751734046</v>
      </c>
      <c r="K66" s="4">
        <f t="shared" si="4"/>
        <v>171478.39200000002</v>
      </c>
      <c r="L66" s="23">
        <v>0</v>
      </c>
      <c r="M66" s="4">
        <f t="shared" si="5"/>
        <v>312092.42751734046</v>
      </c>
      <c r="N66" s="4">
        <f>MIN($C$30*H$11,$C$28*H$12*H$11,H$7)</f>
        <v>182030.40094929197</v>
      </c>
      <c r="O66" s="4">
        <f>N66/Supuestos!$B$14*H$14</f>
        <v>223575.04766594808</v>
      </c>
      <c r="P66" s="4">
        <f>N66*H$16-O66</f>
        <v>190962.78441587448</v>
      </c>
      <c r="Q66" s="4">
        <f>787542.568322288*MIN(1,$C$30/7281.21603797167)</f>
        <v>787542.56832228799</v>
      </c>
      <c r="R66" s="4">
        <f t="shared" si="6"/>
        <v>978505.3527381625</v>
      </c>
      <c r="S66" s="4">
        <f>Q66/H$17</f>
        <v>1820.2342909496786</v>
      </c>
      <c r="T66" s="4">
        <f>H$9-S66</f>
        <v>1840.7657090503214</v>
      </c>
    </row>
    <row r="67" spans="1:20" x14ac:dyDescent="0.3">
      <c r="B67" t="s">
        <v>92</v>
      </c>
      <c r="C67" s="4">
        <f>$C$26*I$21</f>
        <v>164426.38079999998</v>
      </c>
      <c r="D67" s="7">
        <v>0.1310343459195619</v>
      </c>
      <c r="E67" s="7">
        <v>0.85726502509970437</v>
      </c>
      <c r="F67" s="7">
        <v>1.1700628980733751E-2</v>
      </c>
      <c r="G67" s="4">
        <f t="shared" si="1"/>
        <v>21545.503260048808</v>
      </c>
      <c r="H67" s="4">
        <f t="shared" si="2"/>
        <v>140956.98546356554</v>
      </c>
      <c r="I67" s="4">
        <f t="shared" si="3"/>
        <v>1923.8920763856433</v>
      </c>
      <c r="J67" s="4">
        <f>G67*I$14+H67*I$15+I67*I$16</f>
        <v>290568.99624976609</v>
      </c>
      <c r="K67" s="4">
        <f t="shared" si="4"/>
        <v>164426.38079999998</v>
      </c>
      <c r="L67" s="23">
        <v>0</v>
      </c>
      <c r="M67" s="4">
        <f t="shared" si="5"/>
        <v>290568.99624976609</v>
      </c>
      <c r="N67" s="4">
        <f>MIN($C$30*I$11,$C$28*I$12*I$11,I$7)</f>
        <v>196592.83302523533</v>
      </c>
      <c r="O67" s="4">
        <f>N67/Supuestos!$B$14*I$14</f>
        <v>231426.62562689427</v>
      </c>
      <c r="P67" s="4">
        <f>N67*I$16-O67</f>
        <v>195848.23767015219</v>
      </c>
      <c r="Q67" s="4">
        <f>748170.841389915*MIN(1,$C$30/7281.21603797167)</f>
        <v>748170.84138991497</v>
      </c>
      <c r="R67" s="4">
        <f t="shared" si="6"/>
        <v>944019.07906006719</v>
      </c>
      <c r="S67" s="4">
        <f>Q67/I$17</f>
        <v>1820.2341468747172</v>
      </c>
      <c r="T67" s="4">
        <f>I$9-S67</f>
        <v>2147.7658531252828</v>
      </c>
    </row>
    <row r="68" spans="1:20" x14ac:dyDescent="0.3">
      <c r="B68" t="s">
        <v>93</v>
      </c>
      <c r="C68" s="4">
        <f>$C$26*J$21</f>
        <v>179374.23360000004</v>
      </c>
      <c r="D68" s="7">
        <v>0.132044277274976</v>
      </c>
      <c r="E68" s="7">
        <v>0.85676272444198698</v>
      </c>
      <c r="F68" s="7">
        <v>1.119117946628641E-2</v>
      </c>
      <c r="G68" s="4">
        <f t="shared" si="1"/>
        <v>23685.341037464721</v>
      </c>
      <c r="H68" s="4">
        <f t="shared" si="2"/>
        <v>153681.15707382944</v>
      </c>
      <c r="I68" s="4">
        <f t="shared" si="3"/>
        <v>2007.4092398451821</v>
      </c>
      <c r="J68" s="4">
        <f>G68*J$14+H68*J$15+I68*J$16</f>
        <v>309932.5218882577</v>
      </c>
      <c r="K68" s="4">
        <f t="shared" si="4"/>
        <v>179373.90735113935</v>
      </c>
      <c r="L68" s="23">
        <v>0</v>
      </c>
      <c r="M68" s="4">
        <f t="shared" si="5"/>
        <v>309932.5218882577</v>
      </c>
      <c r="N68" s="4">
        <f>MIN($C$30*J$11,$C$28*J$12*J$11,J$7)</f>
        <v>196592.83302523533</v>
      </c>
      <c r="O68" s="4">
        <f>N68/Supuestos!$B$14*J$14</f>
        <v>226491.32638115657</v>
      </c>
      <c r="P68" s="4">
        <f>N68*J$16-O68</f>
        <v>191425.71806388866</v>
      </c>
      <c r="Q68" s="4">
        <f>731333.644926788*MIN(1,$C$30/7281.21603797167)</f>
        <v>731333.64492678805</v>
      </c>
      <c r="R68" s="4">
        <f t="shared" si="6"/>
        <v>922759.36299067666</v>
      </c>
      <c r="S68" s="4">
        <f>Q68/J$17</f>
        <v>1820.2340707023448</v>
      </c>
      <c r="T68" s="4">
        <f>J$9-S68</f>
        <v>2451.765929297655</v>
      </c>
    </row>
    <row r="69" spans="1:20" x14ac:dyDescent="0.3">
      <c r="B69" t="s">
        <v>94</v>
      </c>
      <c r="C69" s="4">
        <f>$C$26*K$21</f>
        <v>174672.89280000003</v>
      </c>
      <c r="D69" s="7">
        <v>0.14507552339665711</v>
      </c>
      <c r="E69" s="7">
        <v>0.84366180609902564</v>
      </c>
      <c r="F69" s="7">
        <v>1.126453827720364E-2</v>
      </c>
      <c r="G69" s="4">
        <f t="shared" si="1"/>
        <v>25340.761346168183</v>
      </c>
      <c r="H69" s="4">
        <f t="shared" si="2"/>
        <v>147364.84821618951</v>
      </c>
      <c r="I69" s="4">
        <f t="shared" si="3"/>
        <v>1967.6094869354883</v>
      </c>
      <c r="J69" s="4">
        <f>G69*K$14+H69*K$15+I69*K$16</f>
        <v>300340.06589183334</v>
      </c>
      <c r="K69" s="4">
        <f t="shared" si="4"/>
        <v>174673.21904929317</v>
      </c>
      <c r="L69" s="23">
        <v>0</v>
      </c>
      <c r="M69" s="4">
        <f t="shared" si="5"/>
        <v>300340.06589183334</v>
      </c>
      <c r="N69" s="4">
        <f>MIN($C$30*K$11,$C$28*K$12*K$11,K$7)</f>
        <v>174749.18491132028</v>
      </c>
      <c r="O69" s="4">
        <f>N69/Supuestos!$B$14*K$14</f>
        <v>201416.63865039157</v>
      </c>
      <c r="P69" s="4">
        <f>N69*K$16-O69</f>
        <v>170257.40273749552</v>
      </c>
      <c r="Q69" s="4">
        <f>731752.629319146*MIN(1,$C$30/7281.21603797167)</f>
        <v>731752.62931914604</v>
      </c>
      <c r="R69" s="4">
        <f t="shared" si="6"/>
        <v>902010.03205664153</v>
      </c>
      <c r="S69" s="4">
        <f>Q69/K$17</f>
        <v>1820.2348929607374</v>
      </c>
      <c r="T69" s="4">
        <f>K$9-S69</f>
        <v>2315.7651070392626</v>
      </c>
    </row>
    <row r="70" spans="1:20" x14ac:dyDescent="0.3">
      <c r="B70" t="s">
        <v>95</v>
      </c>
      <c r="C70" s="4">
        <f>$C$26*L$21</f>
        <v>213629.72959999999</v>
      </c>
      <c r="D70" s="7">
        <v>0.16278409177680109</v>
      </c>
      <c r="E70" s="7">
        <v>0.82602328017764037</v>
      </c>
      <c r="F70" s="7">
        <v>1.1192628045558531E-2</v>
      </c>
      <c r="G70" s="4">
        <f t="shared" si="1"/>
        <v>34775.521509459599</v>
      </c>
      <c r="H70" s="4">
        <f t="shared" si="2"/>
        <v>176463.12998765433</v>
      </c>
      <c r="I70" s="4">
        <f t="shared" si="3"/>
        <v>2391.0781028860451</v>
      </c>
      <c r="J70" s="4">
        <f>G70*L$14+H70*L$15+I70*L$16</f>
        <v>364821.91500340053</v>
      </c>
      <c r="K70" s="4">
        <f t="shared" si="4"/>
        <v>213629.72959999996</v>
      </c>
      <c r="L70" s="23">
        <v>0</v>
      </c>
      <c r="M70" s="4">
        <f t="shared" si="5"/>
        <v>364821.91500340053</v>
      </c>
      <c r="N70" s="4">
        <f>MIN($C$30*L$11,$C$28*L$12*L$11,L$7)</f>
        <v>189311.61698726364</v>
      </c>
      <c r="O70" s="4">
        <f>N70/Supuestos!$B$14*L$14</f>
        <v>218319.67829854123</v>
      </c>
      <c r="P70" s="4">
        <f>N70*L$16-O70</f>
        <v>184554.37381205452</v>
      </c>
      <c r="Q70" s="4">
        <f>732207.404697999*MIN(1,$C$30/7281.21603797167)</f>
        <v>732207.40469799901</v>
      </c>
      <c r="R70" s="4">
        <f t="shared" si="6"/>
        <v>916761.77851005353</v>
      </c>
      <c r="S70" s="4">
        <f>Q70/L$17</f>
        <v>1820.2341885795233</v>
      </c>
      <c r="T70" s="4">
        <f>L$9-S70</f>
        <v>2362.7658114204769</v>
      </c>
    </row>
    <row r="71" spans="1:20" x14ac:dyDescent="0.3">
      <c r="B71" t="s">
        <v>96</v>
      </c>
      <c r="C71" s="4">
        <f>$C$26*M$21</f>
        <v>189259.10399999999</v>
      </c>
      <c r="D71" s="7">
        <v>0.13437716555250251</v>
      </c>
      <c r="E71" s="7">
        <v>0.86404726032828483</v>
      </c>
      <c r="F71" s="7">
        <v>1.5772979421002371E-3</v>
      </c>
      <c r="G71" s="4">
        <f t="shared" si="1"/>
        <v>25432.101950526288</v>
      </c>
      <c r="H71" s="4">
        <f t="shared" si="2"/>
        <v>163528.81030338592</v>
      </c>
      <c r="I71" s="4">
        <f t="shared" si="3"/>
        <v>298.51799526293473</v>
      </c>
      <c r="J71" s="4">
        <f>G71*M$14+H71*M$15+I71*M$16</f>
        <v>326476.42942943587</v>
      </c>
      <c r="K71" s="4">
        <f t="shared" si="4"/>
        <v>189259.43024917514</v>
      </c>
      <c r="L71" s="23">
        <v>0</v>
      </c>
      <c r="M71" s="4">
        <f t="shared" si="5"/>
        <v>326476.42942943587</v>
      </c>
      <c r="N71" s="4">
        <f>MIN($C$30*M$11,$C$28*M$12*M$11,M$7)</f>
        <v>167467.96887334861</v>
      </c>
      <c r="O71" s="4">
        <f>N71/Supuestos!$B$14*M$14</f>
        <v>193111.50160708014</v>
      </c>
      <c r="P71" s="4">
        <f>N71*M$16-O71</f>
        <v>163260.3361554057</v>
      </c>
      <c r="Q71" s="4">
        <f>732171.28535383*MIN(1,$C$30/7281.21603797167)</f>
        <v>732171.28535382997</v>
      </c>
      <c r="R71" s="4">
        <f t="shared" si="6"/>
        <v>895431.6215092357</v>
      </c>
      <c r="S71" s="4">
        <f>Q71/M$17</f>
        <v>1820.2348979560211</v>
      </c>
      <c r="T71" s="4">
        <f>M$9-S71</f>
        <v>2285.7651020439789</v>
      </c>
    </row>
    <row r="72" spans="1:20" x14ac:dyDescent="0.3">
      <c r="B72" s="3" t="s">
        <v>97</v>
      </c>
      <c r="C72" s="9">
        <f>SUM(C60:C71)</f>
        <v>2084672.9575999998</v>
      </c>
      <c r="G72" s="9">
        <f>SUM(G60:G71)</f>
        <v>299794.4744659756</v>
      </c>
      <c r="H72" s="9">
        <f>SUM(H60:H71)</f>
        <v>1774066.5896905651</v>
      </c>
      <c r="I72" s="9">
        <f>SUM(I60:I71)</f>
        <v>10811.89344474413</v>
      </c>
      <c r="J72" s="9">
        <f>SUM(J60:J71)</f>
        <v>3768609.8232133416</v>
      </c>
      <c r="K72" s="9">
        <f>SUM(K60:K71)</f>
        <v>2084672.9576012848</v>
      </c>
      <c r="M72" s="9">
        <f t="shared" ref="M72:R72" si="7">SUM(M60:M71)</f>
        <v>3768609.8232133416</v>
      </c>
      <c r="N72" s="9">
        <f t="shared" si="7"/>
        <v>2020955.0962778255</v>
      </c>
      <c r="O72" s="9">
        <f t="shared" si="7"/>
        <v>2440013.4298997303</v>
      </c>
      <c r="P72" s="9">
        <f t="shared" si="7"/>
        <v>2081787.3125489783</v>
      </c>
      <c r="Q72" s="9">
        <f t="shared" si="7"/>
        <v>12954228.39804182</v>
      </c>
      <c r="R72" s="9">
        <f t="shared" si="7"/>
        <v>15036015.710590795</v>
      </c>
      <c r="S72" s="4">
        <f>AVERAGE(S60:S71)</f>
        <v>2502.821347841777</v>
      </c>
      <c r="T72" s="4">
        <f>AVERAGE(T60:T71)</f>
        <v>1433.6786521582228</v>
      </c>
    </row>
    <row r="73" spans="1:20" x14ac:dyDescent="0.3">
      <c r="A73" s="28" t="s">
        <v>224</v>
      </c>
    </row>
    <row r="75" spans="1:20" x14ac:dyDescent="0.3">
      <c r="A75" s="1" t="s">
        <v>167</v>
      </c>
    </row>
    <row r="76" spans="1:20" x14ac:dyDescent="0.3">
      <c r="B76" s="2" t="s">
        <v>84</v>
      </c>
      <c r="C76" s="2" t="s">
        <v>153</v>
      </c>
      <c r="D76" s="2" t="s">
        <v>154</v>
      </c>
      <c r="E76" s="2" t="s">
        <v>155</v>
      </c>
      <c r="F76" s="2" t="s">
        <v>156</v>
      </c>
      <c r="G76" s="2" t="s">
        <v>157</v>
      </c>
      <c r="H76" s="2" t="s">
        <v>158</v>
      </c>
      <c r="I76" s="2" t="s">
        <v>159</v>
      </c>
      <c r="J76" s="2" t="s">
        <v>160</v>
      </c>
      <c r="K76" s="2" t="s">
        <v>161</v>
      </c>
      <c r="L76" s="2" t="s">
        <v>220</v>
      </c>
      <c r="M76" s="2" t="s">
        <v>162</v>
      </c>
      <c r="N76" s="2" t="s">
        <v>163</v>
      </c>
      <c r="O76" s="2" t="s">
        <v>164</v>
      </c>
      <c r="P76" s="2" t="s">
        <v>165</v>
      </c>
      <c r="Q76" s="2" t="s">
        <v>221</v>
      </c>
      <c r="R76" s="2" t="s">
        <v>166</v>
      </c>
      <c r="S76" s="27" t="s">
        <v>222</v>
      </c>
      <c r="T76" s="27" t="s">
        <v>223</v>
      </c>
    </row>
    <row r="77" spans="1:20" x14ac:dyDescent="0.3">
      <c r="B77" t="s">
        <v>85</v>
      </c>
      <c r="C77" s="4">
        <f>$D$26*B$21</f>
        <v>120121.93720000001</v>
      </c>
      <c r="D77" s="7">
        <v>0.1290327056381568</v>
      </c>
      <c r="E77" s="7">
        <v>0.87096729436184328</v>
      </c>
      <c r="F77" s="7">
        <v>0</v>
      </c>
      <c r="G77" s="4">
        <f t="shared" ref="G77:G88" si="8">C77*D77</f>
        <v>15499.658563412759</v>
      </c>
      <c r="H77" s="4">
        <f t="shared" ref="H77:H88" si="9">C77*E77</f>
        <v>104622.27863658726</v>
      </c>
      <c r="I77" s="4">
        <f t="shared" ref="I77:I88" si="10">C77*F77</f>
        <v>0</v>
      </c>
      <c r="J77" s="4">
        <f>G77*B$14+H77*B$15+I77*B$16</f>
        <v>221407.93841413342</v>
      </c>
      <c r="K77" s="4">
        <f t="shared" ref="K77:K88" si="11">G77+H77+I77</f>
        <v>120121.93720000001</v>
      </c>
      <c r="L77" s="23">
        <v>0</v>
      </c>
      <c r="M77" s="4">
        <f t="shared" ref="M77:M88" si="12">J77+L77*$D$26/839.45</f>
        <v>221407.93841413342</v>
      </c>
      <c r="N77" s="4">
        <f>MIN($D$30*B$11,$D$28*B$12*B$11,B$7)</f>
        <v>160186.75283537694</v>
      </c>
      <c r="O77" s="4">
        <f>N77/Supuestos!$B$14*B$14</f>
        <v>196045.22490237956</v>
      </c>
      <c r="P77" s="4">
        <f>N77*B$16-O77</f>
        <v>168059.26429243229</v>
      </c>
      <c r="Q77" s="4">
        <f>1574939.67419487*MIN(1,$D$30/7281.21603797167)</f>
        <v>1574939.6741948701</v>
      </c>
      <c r="R77" s="4">
        <f t="shared" ref="R77:R88" si="13">P77+Q77</f>
        <v>1742998.9384873023</v>
      </c>
      <c r="S77" s="4">
        <f>Q77/B$17</f>
        <v>3640.4689431715365</v>
      </c>
      <c r="T77" s="4">
        <f>B$9-S77</f>
        <v>440.53105682846353</v>
      </c>
    </row>
    <row r="78" spans="1:20" x14ac:dyDescent="0.3">
      <c r="B78" t="s">
        <v>86</v>
      </c>
      <c r="C78" s="4">
        <f>$D$26*C$21</f>
        <v>112419.144</v>
      </c>
      <c r="D78" s="7">
        <v>0.1666681492155834</v>
      </c>
      <c r="E78" s="7">
        <v>0.83333481588225</v>
      </c>
      <c r="F78" s="7">
        <v>0</v>
      </c>
      <c r="G78" s="4">
        <f t="shared" si="8"/>
        <v>18736.690666880157</v>
      </c>
      <c r="H78" s="4">
        <f t="shared" si="9"/>
        <v>93682.786666880143</v>
      </c>
      <c r="I78" s="4">
        <f t="shared" si="10"/>
        <v>0</v>
      </c>
      <c r="J78" s="4">
        <f>G78*C$14+H78*C$15+I78*C$16</f>
        <v>208290.72033721264</v>
      </c>
      <c r="K78" s="4">
        <f t="shared" si="11"/>
        <v>112419.4773337603</v>
      </c>
      <c r="L78" s="23">
        <v>0</v>
      </c>
      <c r="M78" s="4">
        <f t="shared" si="12"/>
        <v>208290.72033721264</v>
      </c>
      <c r="N78" s="4">
        <f>MIN($D$30*C$11,$D$28*C$12*C$11,C$7)</f>
        <v>152905.53679740525</v>
      </c>
      <c r="O78" s="4">
        <f>N78/Supuestos!$B$14*C$14</f>
        <v>190861.15077534449</v>
      </c>
      <c r="P78" s="4">
        <f>N78*C$16-O78</f>
        <v>164246.66788294949</v>
      </c>
      <c r="Q78" s="4">
        <f>1612363.58340353*MIN(1,$D$30/7281.21603797167)</f>
        <v>1612363.5834035301</v>
      </c>
      <c r="R78" s="4">
        <f t="shared" si="13"/>
        <v>1776610.2512864796</v>
      </c>
      <c r="S78" s="4">
        <f>Q78/C$17</f>
        <v>3640.4686913604205</v>
      </c>
      <c r="T78" s="4">
        <f>C$9-S78</f>
        <v>505.53130863957949</v>
      </c>
    </row>
    <row r="79" spans="1:20" x14ac:dyDescent="0.3">
      <c r="B79" t="s">
        <v>87</v>
      </c>
      <c r="C79" s="4">
        <f>$D$26*D$21</f>
        <v>113460.06200000001</v>
      </c>
      <c r="D79" s="7">
        <v>0.1290322580645161</v>
      </c>
      <c r="E79" s="7">
        <v>0.87096774193548387</v>
      </c>
      <c r="F79" s="7">
        <v>0</v>
      </c>
      <c r="G79" s="4">
        <f t="shared" si="8"/>
        <v>14640.007999999998</v>
      </c>
      <c r="H79" s="4">
        <f t="shared" si="9"/>
        <v>98820.054000000004</v>
      </c>
      <c r="I79" s="4">
        <f t="shared" si="10"/>
        <v>0</v>
      </c>
      <c r="J79" s="4">
        <f>G79*D$14+H79*D$15+I79*D$16</f>
        <v>216450.32227880001</v>
      </c>
      <c r="K79" s="4">
        <f t="shared" si="11"/>
        <v>113460.06200000001</v>
      </c>
      <c r="L79" s="23">
        <v>0</v>
      </c>
      <c r="M79" s="4">
        <f t="shared" si="12"/>
        <v>216450.32227880001</v>
      </c>
      <c r="N79" s="4">
        <f>MIN($D$30*D$11,$D$28*D$12*D$11,D$7)</f>
        <v>150284</v>
      </c>
      <c r="O79" s="4">
        <f>N79/Supuestos!$B$14*D$14</f>
        <v>189937.05958333335</v>
      </c>
      <c r="P79" s="4">
        <f>N79*D$16-O79</f>
        <v>163891.59001666665</v>
      </c>
      <c r="Q79" s="4">
        <f>1457092.76161763*MIN(1,$D$30/7281.21603797167)</f>
        <v>1457092.76161763</v>
      </c>
      <c r="R79" s="4">
        <f t="shared" si="13"/>
        <v>1620984.3516342966</v>
      </c>
      <c r="S79" s="4">
        <f>Q79/D$17</f>
        <v>3241.2972407741913</v>
      </c>
      <c r="T79" s="4">
        <f>D$9-S79</f>
        <v>693.70275922580868</v>
      </c>
    </row>
    <row r="80" spans="1:20" x14ac:dyDescent="0.3">
      <c r="B80" t="s">
        <v>88</v>
      </c>
      <c r="C80" s="4">
        <f>$D$26*E$21</f>
        <v>106173.63600000001</v>
      </c>
      <c r="D80" s="7">
        <v>0.16128920856081699</v>
      </c>
      <c r="E80" s="7">
        <v>0.83871079143918292</v>
      </c>
      <c r="F80" s="7">
        <v>0</v>
      </c>
      <c r="G80" s="4">
        <f t="shared" si="8"/>
        <v>17124.661720464268</v>
      </c>
      <c r="H80" s="4">
        <f t="shared" si="9"/>
        <v>89048.974279535731</v>
      </c>
      <c r="I80" s="4">
        <f t="shared" si="10"/>
        <v>0</v>
      </c>
      <c r="J80" s="4">
        <f>G80*E$14+H80*E$15+I80*E$16</f>
        <v>200065.81671398133</v>
      </c>
      <c r="K80" s="4">
        <f t="shared" si="11"/>
        <v>106173.636</v>
      </c>
      <c r="L80" s="23">
        <v>0</v>
      </c>
      <c r="M80" s="4">
        <f t="shared" si="12"/>
        <v>200065.81671398133</v>
      </c>
      <c r="N80" s="4">
        <f>MIN($D$30*E$11,$D$28*E$12*E$11,E$7)</f>
        <v>152370</v>
      </c>
      <c r="O80" s="4">
        <f>N80/Supuestos!$B$14*E$14</f>
        <v>192795.66562499999</v>
      </c>
      <c r="P80" s="4">
        <f>N80*E$16-O80</f>
        <v>166401.37237500001</v>
      </c>
      <c r="Q80" s="4">
        <f>1637732.497317*MIN(1,$D$30/7281.21603797167)</f>
        <v>1637732.4973170001</v>
      </c>
      <c r="R80" s="4">
        <f t="shared" si="13"/>
        <v>1804133.8696920001</v>
      </c>
      <c r="S80" s="4">
        <f>Q80/E$17</f>
        <v>3638.0311822578137</v>
      </c>
      <c r="T80" s="4">
        <f>E$9-S80</f>
        <v>229.96881774218627</v>
      </c>
    </row>
    <row r="81" spans="1:20" x14ac:dyDescent="0.3">
      <c r="B81" t="s">
        <v>89</v>
      </c>
      <c r="C81" s="4">
        <f>$D$26*F$21</f>
        <v>100331.064</v>
      </c>
      <c r="D81" s="7">
        <v>0.13333200439877341</v>
      </c>
      <c r="E81" s="7">
        <v>0.86666799560122665</v>
      </c>
      <c r="F81" s="7">
        <v>0</v>
      </c>
      <c r="G81" s="4">
        <f t="shared" si="8"/>
        <v>13377.341866581615</v>
      </c>
      <c r="H81" s="4">
        <f t="shared" si="9"/>
        <v>86953.722133418385</v>
      </c>
      <c r="I81" s="4">
        <f t="shared" si="10"/>
        <v>0</v>
      </c>
      <c r="J81" s="4">
        <f>G81*F$14+H81*F$15+I81*F$16</f>
        <v>190130.81611553396</v>
      </c>
      <c r="K81" s="4">
        <f t="shared" si="11"/>
        <v>100331.064</v>
      </c>
      <c r="L81" s="23">
        <v>0</v>
      </c>
      <c r="M81" s="4">
        <f t="shared" si="12"/>
        <v>190130.81611553396</v>
      </c>
      <c r="N81" s="4">
        <f>MIN($D$30*F$11,$D$28*F$12*F$11,F$7)</f>
        <v>130996</v>
      </c>
      <c r="O81" s="4">
        <f>N81/Supuestos!$B$14*F$14</f>
        <v>165041.31458333335</v>
      </c>
      <c r="P81" s="4">
        <f>N81*F$16-O81</f>
        <v>141712.01861666664</v>
      </c>
      <c r="Q81" s="4">
        <f>1397006.26244677*MIN(1,$D$30/7281.21603797167)</f>
        <v>1397006.26244677</v>
      </c>
      <c r="R81" s="4">
        <f t="shared" si="13"/>
        <v>1538718.2810634365</v>
      </c>
      <c r="S81" s="4">
        <f>Q81/F$17</f>
        <v>3131.9499214141238</v>
      </c>
      <c r="T81" s="4">
        <f>F$9-S81</f>
        <v>629.05007858587624</v>
      </c>
    </row>
    <row r="82" spans="1:20" x14ac:dyDescent="0.3">
      <c r="B82" t="s">
        <v>90</v>
      </c>
      <c r="C82" s="4">
        <f>$D$26*G$21</f>
        <v>110545.49159999999</v>
      </c>
      <c r="D82" s="7">
        <v>0.12852344136342261</v>
      </c>
      <c r="E82" s="7">
        <v>0.8689346150598849</v>
      </c>
      <c r="F82" s="7">
        <v>2.5449589308760212E-3</v>
      </c>
      <c r="G82" s="4">
        <f t="shared" si="8"/>
        <v>14207.687007643326</v>
      </c>
      <c r="H82" s="4">
        <f t="shared" si="9"/>
        <v>96056.804190051727</v>
      </c>
      <c r="I82" s="4">
        <f t="shared" si="10"/>
        <v>281.33373611550019</v>
      </c>
      <c r="J82" s="4">
        <f>G82*G$14+H82*G$15+I82*G$16</f>
        <v>210014.23910822376</v>
      </c>
      <c r="K82" s="4">
        <f t="shared" si="11"/>
        <v>110545.82493381055</v>
      </c>
      <c r="L82" s="23">
        <v>0</v>
      </c>
      <c r="M82" s="4">
        <f t="shared" si="12"/>
        <v>210014.23910822376</v>
      </c>
      <c r="N82" s="4">
        <f>MIN($D$30*G$11,$D$28*G$12*G$11,G$7)</f>
        <v>167467.96887334861</v>
      </c>
      <c r="O82" s="4">
        <f>N82/Supuestos!$B$14*G$14</f>
        <v>210992.1962003283</v>
      </c>
      <c r="P82" s="4">
        <f>N82*G$16-O82</f>
        <v>181167.5465103921</v>
      </c>
      <c r="Q82" s="4">
        <f>811915.245052052*MIN(1,$D$30/7281.21603797167)</f>
        <v>811915.24505205196</v>
      </c>
      <c r="R82" s="4">
        <f t="shared" si="13"/>
        <v>993082.79156244406</v>
      </c>
      <c r="S82" s="4">
        <f>Q82/G$17</f>
        <v>1820.2337071002173</v>
      </c>
      <c r="T82" s="4">
        <f>G$9-S82</f>
        <v>1300.7662928997827</v>
      </c>
    </row>
    <row r="83" spans="1:20" x14ac:dyDescent="0.3">
      <c r="B83" t="s">
        <v>91</v>
      </c>
      <c r="C83" s="4">
        <f>$D$26*H$21</f>
        <v>114635.292</v>
      </c>
      <c r="D83" s="7">
        <v>0.1692526446180061</v>
      </c>
      <c r="E83" s="7">
        <v>0.82023285432647297</v>
      </c>
      <c r="F83" s="7">
        <v>1.051450105552099E-2</v>
      </c>
      <c r="G83" s="4">
        <f t="shared" si="8"/>
        <v>19402.326337557359</v>
      </c>
      <c r="H83" s="4">
        <f t="shared" si="9"/>
        <v>94027.632763708694</v>
      </c>
      <c r="I83" s="4">
        <f t="shared" si="10"/>
        <v>1205.3328987339569</v>
      </c>
      <c r="J83" s="4">
        <f>G83*H$14+H83*H$15+I83*H$16</f>
        <v>208637.57200618333</v>
      </c>
      <c r="K83" s="4">
        <f t="shared" si="11"/>
        <v>114635.29200000002</v>
      </c>
      <c r="L83" s="23">
        <v>0</v>
      </c>
      <c r="M83" s="4">
        <f t="shared" si="12"/>
        <v>208637.57200618333</v>
      </c>
      <c r="N83" s="4">
        <f>MIN($D$30*H$11,$D$28*H$12*H$11,H$7)</f>
        <v>182030.40094929197</v>
      </c>
      <c r="O83" s="4">
        <f>N83/Supuestos!$B$14*H$14</f>
        <v>223575.04766594808</v>
      </c>
      <c r="P83" s="4">
        <f>N83*H$16-O83</f>
        <v>190962.78441587448</v>
      </c>
      <c r="Q83" s="4">
        <f>787542.568322288*MIN(1,$D$30/7281.21603797167)</f>
        <v>787542.56832228799</v>
      </c>
      <c r="R83" s="4">
        <f t="shared" si="13"/>
        <v>978505.3527381625</v>
      </c>
      <c r="S83" s="4">
        <f>Q83/H$17</f>
        <v>1820.2342909496786</v>
      </c>
      <c r="T83" s="4">
        <f>H$9-S83</f>
        <v>1840.7657090503214</v>
      </c>
    </row>
    <row r="84" spans="1:20" x14ac:dyDescent="0.3">
      <c r="B84" t="s">
        <v>92</v>
      </c>
      <c r="C84" s="4">
        <f>$D$26*I$21</f>
        <v>109920.9408</v>
      </c>
      <c r="D84" s="7">
        <v>0.13103349981653489</v>
      </c>
      <c r="E84" s="7">
        <v>0.85726415637897524</v>
      </c>
      <c r="F84" s="7">
        <v>1.1699311323586941E-2</v>
      </c>
      <c r="G84" s="4">
        <f t="shared" si="8"/>
        <v>14403.325576150142</v>
      </c>
      <c r="H84" s="4">
        <f t="shared" si="9"/>
        <v>94231.28258329528</v>
      </c>
      <c r="I84" s="4">
        <f t="shared" si="10"/>
        <v>1285.9993074007698</v>
      </c>
      <c r="J84" s="4">
        <f>G84*I$14+H84*I$15+I84*I$16</f>
        <v>194248.14345065804</v>
      </c>
      <c r="K84" s="4">
        <f t="shared" si="11"/>
        <v>109920.6074668462</v>
      </c>
      <c r="L84" s="23">
        <v>0</v>
      </c>
      <c r="M84" s="4">
        <f t="shared" si="12"/>
        <v>194248.14345065804</v>
      </c>
      <c r="N84" s="4">
        <f>MIN($D$30*I$11,$D$28*I$12*I$11,I$7)</f>
        <v>196592.83302523533</v>
      </c>
      <c r="O84" s="4">
        <f>N84/Supuestos!$B$14*I$14</f>
        <v>231426.62562689427</v>
      </c>
      <c r="P84" s="4">
        <f>N84*I$16-O84</f>
        <v>195848.23767015219</v>
      </c>
      <c r="Q84" s="4">
        <f>748170.841389915*MIN(1,$D$30/7281.21603797167)</f>
        <v>748170.84138991497</v>
      </c>
      <c r="R84" s="4">
        <f t="shared" si="13"/>
        <v>944019.07906006719</v>
      </c>
      <c r="S84" s="4">
        <f>Q84/I$17</f>
        <v>1820.2341468747172</v>
      </c>
      <c r="T84" s="4">
        <f>I$9-S84</f>
        <v>2147.7658531252828</v>
      </c>
    </row>
    <row r="85" spans="1:20" x14ac:dyDescent="0.3">
      <c r="B85" t="s">
        <v>93</v>
      </c>
      <c r="C85" s="4">
        <f>$D$26*J$21</f>
        <v>119913.75360000001</v>
      </c>
      <c r="D85" s="7">
        <v>0.13204499904097669</v>
      </c>
      <c r="E85" s="7">
        <v>0.85676361604598861</v>
      </c>
      <c r="F85" s="7">
        <v>1.119138491303466E-2</v>
      </c>
      <c r="G85" s="4">
        <f t="shared" si="8"/>
        <v>15834.011479111916</v>
      </c>
      <c r="H85" s="4">
        <f t="shared" si="9"/>
        <v>102737.74114798369</v>
      </c>
      <c r="I85" s="4">
        <f t="shared" si="10"/>
        <v>1342.0009729043959</v>
      </c>
      <c r="J85" s="4">
        <f>G85*J$14+H85*J$15+I85*J$16</f>
        <v>207193.82464170628</v>
      </c>
      <c r="K85" s="4">
        <f t="shared" si="11"/>
        <v>119913.7536</v>
      </c>
      <c r="L85" s="23">
        <v>0</v>
      </c>
      <c r="M85" s="4">
        <f t="shared" si="12"/>
        <v>207193.82464170628</v>
      </c>
      <c r="N85" s="4">
        <f>MIN($D$30*J$11,$D$28*J$12*J$11,J$7)</f>
        <v>196592.83302523533</v>
      </c>
      <c r="O85" s="4">
        <f>N85/Supuestos!$B$14*J$14</f>
        <v>226491.32638115657</v>
      </c>
      <c r="P85" s="4">
        <f>N85*J$16-O85</f>
        <v>191425.71806388866</v>
      </c>
      <c r="Q85" s="4">
        <f>731333.644926788*MIN(1,$D$30/7281.21603797167)</f>
        <v>731333.64492678805</v>
      </c>
      <c r="R85" s="4">
        <f t="shared" si="13"/>
        <v>922759.36299067666</v>
      </c>
      <c r="S85" s="4">
        <f>Q85/J$17</f>
        <v>1820.2340707023448</v>
      </c>
      <c r="T85" s="4">
        <f>J$9-S85</f>
        <v>2451.765929297655</v>
      </c>
    </row>
    <row r="86" spans="1:20" x14ac:dyDescent="0.3">
      <c r="B86" t="s">
        <v>94</v>
      </c>
      <c r="C86" s="4">
        <f>$D$26*K$21</f>
        <v>116770.85280000002</v>
      </c>
      <c r="D86" s="7">
        <v>0.14507312032382469</v>
      </c>
      <c r="E86" s="7">
        <v>0.84365981279598534</v>
      </c>
      <c r="F86" s="7">
        <v>1.126421229015195E-2</v>
      </c>
      <c r="G86" s="4">
        <f t="shared" si="8"/>
        <v>16940.311978570026</v>
      </c>
      <c r="H86" s="4">
        <f t="shared" si="9"/>
        <v>98514.875813275576</v>
      </c>
      <c r="I86" s="4">
        <f t="shared" si="10"/>
        <v>1315.3316752412845</v>
      </c>
      <c r="J86" s="4">
        <f>G86*K$14+H86*K$15+I86*K$16</f>
        <v>200779.99919903203</v>
      </c>
      <c r="K86" s="4">
        <f t="shared" si="11"/>
        <v>116770.51946708688</v>
      </c>
      <c r="L86" s="23">
        <v>0</v>
      </c>
      <c r="M86" s="4">
        <f t="shared" si="12"/>
        <v>200779.99919903203</v>
      </c>
      <c r="N86" s="4">
        <f>MIN($D$30*K$11,$D$28*K$12*K$11,K$7)</f>
        <v>174749.18491132028</v>
      </c>
      <c r="O86" s="4">
        <f>N86/Supuestos!$B$14*K$14</f>
        <v>201416.63865039157</v>
      </c>
      <c r="P86" s="4">
        <f>N86*K$16-O86</f>
        <v>170257.40273749552</v>
      </c>
      <c r="Q86" s="4">
        <f>731752.629319146*MIN(1,$D$30/7281.21603797167)</f>
        <v>731752.62931914604</v>
      </c>
      <c r="R86" s="4">
        <f t="shared" si="13"/>
        <v>902010.03205664153</v>
      </c>
      <c r="S86" s="4">
        <f>Q86/K$17</f>
        <v>1820.2348929607374</v>
      </c>
      <c r="T86" s="4">
        <f>K$9-S86</f>
        <v>2315.7651070392626</v>
      </c>
    </row>
    <row r="87" spans="1:20" x14ac:dyDescent="0.3">
      <c r="B87" t="s">
        <v>95</v>
      </c>
      <c r="C87" s="4">
        <f>$D$26*L$21</f>
        <v>142813.94959999999</v>
      </c>
      <c r="D87" s="7">
        <v>0.16278516111865779</v>
      </c>
      <c r="E87" s="7">
        <v>0.8260231256506132</v>
      </c>
      <c r="F87" s="7">
        <v>1.119171323072901E-2</v>
      </c>
      <c r="G87" s="4">
        <f t="shared" si="8"/>
        <v>23247.991795627873</v>
      </c>
      <c r="H87" s="4">
        <f t="shared" si="9"/>
        <v>117967.62503510114</v>
      </c>
      <c r="I87" s="4">
        <f t="shared" si="10"/>
        <v>1598.3327692709859</v>
      </c>
      <c r="J87" s="4">
        <f>G87*L$14+H87*L$15+I87*L$16</f>
        <v>243887.52829712332</v>
      </c>
      <c r="K87" s="4">
        <f t="shared" si="11"/>
        <v>142813.94959999999</v>
      </c>
      <c r="L87" s="23">
        <v>0</v>
      </c>
      <c r="M87" s="4">
        <f t="shared" si="12"/>
        <v>243887.52829712332</v>
      </c>
      <c r="N87" s="4">
        <f>MIN($D$30*L$11,$D$28*L$12*L$11,L$7)</f>
        <v>189311.61698726364</v>
      </c>
      <c r="O87" s="4">
        <f>N87/Supuestos!$B$14*L$14</f>
        <v>218319.67829854123</v>
      </c>
      <c r="P87" s="4">
        <f>N87*L$16-O87</f>
        <v>184554.37381205452</v>
      </c>
      <c r="Q87" s="4">
        <f>732207.404697999*MIN(1,$D$30/7281.21603797167)</f>
        <v>732207.40469799901</v>
      </c>
      <c r="R87" s="4">
        <f t="shared" si="13"/>
        <v>916761.77851005353</v>
      </c>
      <c r="S87" s="4">
        <f>Q87/L$17</f>
        <v>1820.2341885795233</v>
      </c>
      <c r="T87" s="4">
        <f>L$9-S87</f>
        <v>2362.7658114204769</v>
      </c>
    </row>
    <row r="88" spans="1:20" x14ac:dyDescent="0.3">
      <c r="B88" t="s">
        <v>96</v>
      </c>
      <c r="C88" s="4">
        <f>$D$26*M$21</f>
        <v>126521.90400000001</v>
      </c>
      <c r="D88" s="7">
        <v>0.13437715706886291</v>
      </c>
      <c r="E88" s="7">
        <v>0.86404472476459959</v>
      </c>
      <c r="F88" s="7">
        <v>1.578118166537572E-3</v>
      </c>
      <c r="G88" s="4">
        <f t="shared" si="8"/>
        <v>17001.653766459596</v>
      </c>
      <c r="H88" s="4">
        <f t="shared" si="9"/>
        <v>109320.58371837311</v>
      </c>
      <c r="I88" s="4">
        <f t="shared" si="10"/>
        <v>199.66651516732273</v>
      </c>
      <c r="J88" s="4">
        <f>G88*M$14+H88*M$15+I88*M$16</f>
        <v>218252.91166467324</v>
      </c>
      <c r="K88" s="4">
        <f t="shared" si="11"/>
        <v>126521.90400000002</v>
      </c>
      <c r="L88" s="23">
        <v>0</v>
      </c>
      <c r="M88" s="4">
        <f t="shared" si="12"/>
        <v>218252.91166467324</v>
      </c>
      <c r="N88" s="4">
        <f>MIN($D$30*M$11,$D$28*M$12*M$11,M$7)</f>
        <v>167467.96887334861</v>
      </c>
      <c r="O88" s="4">
        <f>N88/Supuestos!$B$14*M$14</f>
        <v>193111.50160708014</v>
      </c>
      <c r="P88" s="4">
        <f>N88*M$16-O88</f>
        <v>163260.3361554057</v>
      </c>
      <c r="Q88" s="4">
        <f>732171.28535383*MIN(1,$D$30/7281.21603797167)</f>
        <v>732171.28535382997</v>
      </c>
      <c r="R88" s="4">
        <f t="shared" si="13"/>
        <v>895431.6215092357</v>
      </c>
      <c r="S88" s="4">
        <f>Q88/M$17</f>
        <v>1820.2348979560211</v>
      </c>
      <c r="T88" s="4">
        <f>M$9-S88</f>
        <v>2285.7651020439789</v>
      </c>
    </row>
    <row r="89" spans="1:20" x14ac:dyDescent="0.3">
      <c r="B89" s="3" t="s">
        <v>97</v>
      </c>
      <c r="C89" s="9">
        <f>SUM(C77:C88)</f>
        <v>1393628.0276000001</v>
      </c>
      <c r="G89" s="9">
        <f>SUM(G77:G88)</f>
        <v>200415.66875845904</v>
      </c>
      <c r="H89" s="9">
        <f>SUM(H77:H88)</f>
        <v>1185984.3609682107</v>
      </c>
      <c r="I89" s="9">
        <f>SUM(I77:I88)</f>
        <v>7227.9978748342164</v>
      </c>
      <c r="J89" s="9">
        <f>SUM(J77:J88)</f>
        <v>2519359.8322272613</v>
      </c>
      <c r="K89" s="9">
        <f>SUM(K77:K88)</f>
        <v>1393628.0276015038</v>
      </c>
      <c r="M89" s="9">
        <f t="shared" ref="M89:R89" si="14">SUM(M77:M88)</f>
        <v>2519359.8322272613</v>
      </c>
      <c r="N89" s="9">
        <f t="shared" si="14"/>
        <v>2020955.0962778255</v>
      </c>
      <c r="O89" s="9">
        <f t="shared" si="14"/>
        <v>2440013.4298997303</v>
      </c>
      <c r="P89" s="9">
        <f t="shared" si="14"/>
        <v>2081787.3125489783</v>
      </c>
      <c r="Q89" s="9">
        <f t="shared" si="14"/>
        <v>12954228.39804182</v>
      </c>
      <c r="R89" s="9">
        <f t="shared" si="14"/>
        <v>15036015.710590795</v>
      </c>
      <c r="S89" s="4">
        <f>AVERAGE(S77:S88)</f>
        <v>2502.821347841777</v>
      </c>
      <c r="T89" s="4">
        <f>AVERAGE(T77:T88)</f>
        <v>1433.6786521582228</v>
      </c>
    </row>
    <row r="92" spans="1:20" x14ac:dyDescent="0.3">
      <c r="A92" s="1" t="s">
        <v>168</v>
      </c>
    </row>
    <row r="93" spans="1:20" x14ac:dyDescent="0.3">
      <c r="B93" s="2" t="s">
        <v>169</v>
      </c>
      <c r="C93" s="2" t="s">
        <v>170</v>
      </c>
      <c r="D93" s="2" t="s">
        <v>171</v>
      </c>
      <c r="E93" s="2" t="s">
        <v>172</v>
      </c>
      <c r="F93" s="2" t="s">
        <v>173</v>
      </c>
      <c r="G93" s="2" t="s">
        <v>174</v>
      </c>
      <c r="H93" s="2" t="s">
        <v>175</v>
      </c>
      <c r="I93" s="2" t="s">
        <v>176</v>
      </c>
      <c r="J93" s="2" t="s">
        <v>177</v>
      </c>
      <c r="K93" s="2" t="s">
        <v>178</v>
      </c>
      <c r="L93" s="2" t="s">
        <v>179</v>
      </c>
      <c r="M93" s="2" t="s">
        <v>180</v>
      </c>
      <c r="N93" s="2" t="s">
        <v>181</v>
      </c>
      <c r="O93" s="2" t="s">
        <v>182</v>
      </c>
      <c r="P93" s="2" t="s">
        <v>183</v>
      </c>
    </row>
    <row r="94" spans="1:20" x14ac:dyDescent="0.3">
      <c r="B94" t="s">
        <v>184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f>-$C$34</f>
        <v>-14324397.75</v>
      </c>
      <c r="N94" s="4">
        <f>-$C$36</f>
        <v>-38039274</v>
      </c>
      <c r="O94" s="4">
        <f>M94</f>
        <v>-14324397.75</v>
      </c>
      <c r="P94" s="4">
        <f>N94</f>
        <v>-38039274</v>
      </c>
    </row>
    <row r="95" spans="1:20" x14ac:dyDescent="0.3">
      <c r="B95" s="18">
        <f>Supuestos!$B$25+1-1</f>
        <v>2026</v>
      </c>
      <c r="C95" s="4">
        <f>$C$39*(1+Supuestos!$B$9)^(1-1)</f>
        <v>86033582.236877248</v>
      </c>
      <c r="D95" s="4">
        <f>IF(B95&lt;=Supuestos!$B$26,$C$38*(1+Supuestos!$B$9)^(1-1),0)</f>
        <v>22509979.70947725</v>
      </c>
      <c r="E95" s="4">
        <f t="shared" ref="E95:E114" si="15">C95-D95</f>
        <v>63523602.527400002</v>
      </c>
      <c r="F95" s="4">
        <f>$C$43*(1+Supuestos!$B$9)^(1-1)*(1-Supuestos!$B$11)^(1-1)</f>
        <v>3768609.8232133416</v>
      </c>
      <c r="G95" s="4">
        <f>$C$44*(1+Supuestos!$B$9)^(1-1)*(1-Supuestos!$B$12)^(1-1)</f>
        <v>12530013.092158996</v>
      </c>
      <c r="H95" s="4">
        <f>IF(1&lt;=Supuestos!$B$18,$C$42*$C$31*(1+Supuestos!$B$10)^(1-1)*(1-Supuestos!$B$11)^(1-1),0)</f>
        <v>2302729.7489663791</v>
      </c>
      <c r="I95" s="4">
        <f>IF(1&lt;=Supuestos!$B$19,G95*$C$32,0)</f>
        <v>6265006.5460794978</v>
      </c>
      <c r="J95" s="9">
        <f t="shared" ref="J95:J114" si="16">F95+G95-H95-I95</f>
        <v>7730886.6203264613</v>
      </c>
      <c r="K95" s="4">
        <f t="shared" ref="K95:K114" si="17">K94+J95</f>
        <v>7730886.6203264613</v>
      </c>
      <c r="L95" s="7">
        <f t="shared" ref="L95:L114" si="18">IF(E95&gt;0,J95/E95,0)</f>
        <v>0.12170101053371231</v>
      </c>
      <c r="M95" s="4">
        <f>IF(1&lt;=Supuestos!$B$18,H95-Supuestos!$B$22*$C$26*(1+Supuestos!$B$9)^(1-1),0)</f>
        <v>1913462.7489663791</v>
      </c>
      <c r="N95" s="4">
        <f>IF(1&lt;=Supuestos!$B$19,I95-Supuestos!$B$23*$C$29*(1+Supuestos!$B$9)^(1-1),0)</f>
        <v>4871626.5460794978</v>
      </c>
      <c r="O95" s="4">
        <f t="shared" ref="O95:O114" si="19">O94+M95</f>
        <v>-12410935.001033621</v>
      </c>
      <c r="P95" s="4">
        <f t="shared" ref="P95:P114" si="20">P94+N95</f>
        <v>-33167647.453920502</v>
      </c>
    </row>
    <row r="96" spans="1:20" x14ac:dyDescent="0.3">
      <c r="B96" s="18">
        <f>Supuestos!$B$25+2-1</f>
        <v>2027</v>
      </c>
      <c r="C96" s="4">
        <f>$C$39*(1+Supuestos!$B$9)^(2-1)</f>
        <v>91195597.171089888</v>
      </c>
      <c r="D96" s="4">
        <f>IF(B96&lt;=Supuestos!$B$26,$C$38*(1+Supuestos!$B$9)^(2-1),0)</f>
        <v>23860578.492045887</v>
      </c>
      <c r="E96" s="4">
        <f t="shared" si="15"/>
        <v>67335018.679044008</v>
      </c>
      <c r="F96" s="4">
        <f>$C$43*(1+Supuestos!$B$9)^(2-1)*(1-Supuestos!$B$11)^(2-1)</f>
        <v>3974752.7805431117</v>
      </c>
      <c r="G96" s="4">
        <f>$C$44*(1+Supuestos!$B$9)^(2-1)*(1-Supuestos!$B$12)^(2-1)</f>
        <v>13115791.20421743</v>
      </c>
      <c r="H96" s="4">
        <f>IF(2&lt;=Supuestos!$B$18,$C$42*$C$31*(1+Supuestos!$B$10)^(2-1)*(1-Supuestos!$B$11)^(2-1),0)</f>
        <v>2405776.9052326246</v>
      </c>
      <c r="I96" s="4">
        <f>IF(2&lt;=Supuestos!$B$19,G96*$C$32,0)</f>
        <v>6557895.6021087151</v>
      </c>
      <c r="J96" s="9">
        <f t="shared" si="16"/>
        <v>8126871.4774192013</v>
      </c>
      <c r="K96" s="4">
        <f t="shared" si="17"/>
        <v>15857758.097745663</v>
      </c>
      <c r="L96" s="7">
        <f t="shared" si="18"/>
        <v>0.12069309011639801</v>
      </c>
      <c r="M96" s="4">
        <f>IF(2&lt;=Supuestos!$B$18,H96-Supuestos!$B$22*$C$26*(1+Supuestos!$B$9)^(2-1),0)</f>
        <v>1993153.8852326246</v>
      </c>
      <c r="N96" s="4">
        <f>IF(2&lt;=Supuestos!$B$19,I96-Supuestos!$B$23*$C$29*(1+Supuestos!$B$9)^(2-1),0)</f>
        <v>5080912.8021087153</v>
      </c>
      <c r="O96" s="4">
        <f t="shared" si="19"/>
        <v>-10417781.115800995</v>
      </c>
      <c r="P96" s="4">
        <f t="shared" si="20"/>
        <v>-28086734.651811786</v>
      </c>
    </row>
    <row r="97" spans="2:16" x14ac:dyDescent="0.3">
      <c r="B97" s="18">
        <f>Supuestos!$B$25+3-1</f>
        <v>2028</v>
      </c>
      <c r="C97" s="4">
        <f>$C$39*(1+Supuestos!$B$9)^(3-1)</f>
        <v>96667333.00135529</v>
      </c>
      <c r="D97" s="4">
        <f>IF(B97&lt;=Supuestos!$B$26,$C$38*(1+Supuestos!$B$9)^(3-1),0)</f>
        <v>25292213.201568641</v>
      </c>
      <c r="E97" s="4">
        <f t="shared" si="15"/>
        <v>71375119.799786657</v>
      </c>
      <c r="F97" s="4">
        <f>$C$43*(1+Supuestos!$B$9)^(3-1)*(1-Supuestos!$B$11)^(3-1)</f>
        <v>4192171.7576388204</v>
      </c>
      <c r="G97" s="4">
        <f>$C$44*(1+Supuestos!$B$9)^(3-1)*(1-Supuestos!$B$12)^(3-1)</f>
        <v>13728954.443014596</v>
      </c>
      <c r="H97" s="4">
        <f>IF(3&lt;=Supuestos!$B$18,$C$42*$C$31*(1+Supuestos!$B$10)^(3-1)*(1-Supuestos!$B$11)^(3-1),0)</f>
        <v>2513435.421741785</v>
      </c>
      <c r="I97" s="4">
        <f>IF(3&lt;=Supuestos!$B$19,G97*$C$32,0)</f>
        <v>6864477.2215072978</v>
      </c>
      <c r="J97" s="9">
        <f t="shared" si="16"/>
        <v>8543213.5574043319</v>
      </c>
      <c r="K97" s="4">
        <f t="shared" si="17"/>
        <v>24400971.655149996</v>
      </c>
      <c r="L97" s="7">
        <f t="shared" si="18"/>
        <v>0.11969455997228137</v>
      </c>
      <c r="M97" s="4">
        <f>IF(3&lt;=Supuestos!$B$18,H97-Supuestos!$B$22*$C$26*(1+Supuestos!$B$9)^(3-1),0)</f>
        <v>2076055.0205417848</v>
      </c>
      <c r="N97" s="4">
        <f>IF(3&lt;=Supuestos!$B$19,I97-Supuestos!$B$23*$C$29*(1+Supuestos!$B$9)^(3-1),0)</f>
        <v>5298875.4535072977</v>
      </c>
      <c r="O97" s="4">
        <f t="shared" si="19"/>
        <v>-8341726.0952592101</v>
      </c>
      <c r="P97" s="4">
        <f t="shared" si="20"/>
        <v>-22787859.198304489</v>
      </c>
    </row>
    <row r="98" spans="2:16" x14ac:dyDescent="0.3">
      <c r="B98" s="18">
        <f>Supuestos!$B$25+4-1</f>
        <v>2029</v>
      </c>
      <c r="C98" s="4">
        <f>$C$39*(1+Supuestos!$B$9)^(4-1)</f>
        <v>102467372.98143661</v>
      </c>
      <c r="D98" s="4">
        <f>IF(B98&lt;=Supuestos!$B$26,$C$38*(1+Supuestos!$B$9)^(4-1),0)</f>
        <v>26809745.993662763</v>
      </c>
      <c r="E98" s="4">
        <f t="shared" si="15"/>
        <v>75657626.987773851</v>
      </c>
      <c r="F98" s="4">
        <f>$C$43*(1+Supuestos!$B$9)^(4-1)*(1-Supuestos!$B$11)^(4-1)</f>
        <v>4421483.5527816638</v>
      </c>
      <c r="G98" s="4">
        <f>$C$44*(1+Supuestos!$B$9)^(4-1)*(1-Supuestos!$B$12)^(4-1)</f>
        <v>14370783.06322553</v>
      </c>
      <c r="H98" s="4">
        <f>IF(4&lt;=Supuestos!$B$18,$C$42*$C$31*(1+Supuestos!$B$10)^(4-1)*(1-Supuestos!$B$11)^(4-1),0)</f>
        <v>2625911.6568647297</v>
      </c>
      <c r="I98" s="4">
        <f>IF(4&lt;=Supuestos!$B$19,G98*$C$32,0)</f>
        <v>7185391.531612765</v>
      </c>
      <c r="J98" s="9">
        <f t="shared" si="16"/>
        <v>8980963.4275297001</v>
      </c>
      <c r="K98" s="4">
        <f t="shared" si="17"/>
        <v>33381935.082679696</v>
      </c>
      <c r="L98" s="7">
        <f t="shared" si="18"/>
        <v>0.11870532800322972</v>
      </c>
      <c r="M98" s="4">
        <f>IF(4&lt;=Supuestos!$B$18,H98-Supuestos!$B$22*$C$26*(1+Supuestos!$B$9)^(4-1),0)</f>
        <v>2162288.4315927294</v>
      </c>
      <c r="N98" s="4">
        <f>IF(4&lt;=Supuestos!$B$19,I98-Supuestos!$B$23*$C$29*(1+Supuestos!$B$9)^(4-1),0)</f>
        <v>5525853.6575327646</v>
      </c>
      <c r="O98" s="4">
        <f t="shared" si="19"/>
        <v>-6179437.6636664812</v>
      </c>
      <c r="P98" s="4">
        <f t="shared" si="20"/>
        <v>-17262005.540771723</v>
      </c>
    </row>
    <row r="99" spans="2:16" x14ac:dyDescent="0.3">
      <c r="B99" s="18">
        <f>Supuestos!$B$25+5-1</f>
        <v>2030</v>
      </c>
      <c r="C99" s="4">
        <f>$C$39*(1+Supuestos!$B$9)^(5-1)</f>
        <v>108615415.36032282</v>
      </c>
      <c r="D99" s="4">
        <f>IF(B99&lt;=Supuestos!$B$26,$C$38*(1+Supuestos!$B$9)^(5-1),0)</f>
        <v>28418330.753282528</v>
      </c>
      <c r="E99" s="4">
        <f t="shared" si="15"/>
        <v>80197084.607040286</v>
      </c>
      <c r="F99" s="4">
        <f>$C$43*(1+Supuestos!$B$9)^(5-1)*(1-Supuestos!$B$11)^(5-1)</f>
        <v>4663338.7031188216</v>
      </c>
      <c r="G99" s="4">
        <f>$C$44*(1+Supuestos!$B$9)^(5-1)*(1-Supuestos!$B$12)^(5-1)</f>
        <v>15042617.171431325</v>
      </c>
      <c r="H99" s="4">
        <f>IF(5&lt;=Supuestos!$B$18,$C$42*$C$31*(1+Supuestos!$B$10)^(5-1)*(1-Supuestos!$B$11)^(5-1),0)</f>
        <v>2743421.2035094262</v>
      </c>
      <c r="I99" s="4">
        <f>IF(5&lt;=Supuestos!$B$19,G99*$C$32,0)</f>
        <v>7521308.5857156627</v>
      </c>
      <c r="J99" s="9">
        <f t="shared" si="16"/>
        <v>9441226.0853250585</v>
      </c>
      <c r="K99" s="4">
        <f t="shared" si="17"/>
        <v>42823161.168004751</v>
      </c>
      <c r="L99" s="7">
        <f t="shared" si="18"/>
        <v>0.11772530300305005</v>
      </c>
      <c r="M99" s="4">
        <f>IF(5&lt;=Supuestos!$B$18,H99-Supuestos!$B$22*$C$26*(1+Supuestos!$B$9)^(5-1),0)</f>
        <v>2251980.5847211061</v>
      </c>
      <c r="N99" s="4">
        <f>IF(5&lt;=Supuestos!$B$19,I99-Supuestos!$B$23*$C$29*(1+Supuestos!$B$9)^(5-1),0)</f>
        <v>5762198.4391908627</v>
      </c>
      <c r="O99" s="4">
        <f t="shared" si="19"/>
        <v>-3927457.078945375</v>
      </c>
      <c r="P99" s="4">
        <f t="shared" si="20"/>
        <v>-11499807.10158086</v>
      </c>
    </row>
    <row r="100" spans="2:16" x14ac:dyDescent="0.3">
      <c r="B100" s="18">
        <f>Supuestos!$B$25+6-1</f>
        <v>2031</v>
      </c>
      <c r="C100" s="4">
        <f>$C$39*(1+Supuestos!$B$9)^(6-1)</f>
        <v>115132340.2819422</v>
      </c>
      <c r="D100" s="4">
        <f>IF(B100&lt;=Supuestos!$B$26,$C$38*(1+Supuestos!$B$9)^(6-1),0)</f>
        <v>30123430.598479483</v>
      </c>
      <c r="E100" s="4">
        <f t="shared" si="15"/>
        <v>85008909.683462724</v>
      </c>
      <c r="F100" s="4">
        <f>$C$43*(1+Supuestos!$B$9)^(6-1)*(1-Supuestos!$B$11)^(6-1)</f>
        <v>4918423.3301794212</v>
      </c>
      <c r="G100" s="4">
        <f>$C$44*(1+Supuestos!$B$9)^(6-1)*(1-Supuestos!$B$12)^(6-1)</f>
        <v>15745859.524195742</v>
      </c>
      <c r="H100" s="4">
        <f>IF(6&lt;=Supuestos!$B$18,$C$42*$C$31*(1+Supuestos!$B$10)^(6-1)*(1-Supuestos!$B$11)^(6-1),0)</f>
        <v>2866189.3023664732</v>
      </c>
      <c r="I100" s="4">
        <f>IF(6&lt;=Supuestos!$B$19,G100*$C$32,0)</f>
        <v>7872929.7620978709</v>
      </c>
      <c r="J100" s="9">
        <f t="shared" si="16"/>
        <v>9925163.7899108175</v>
      </c>
      <c r="K100" s="4">
        <f t="shared" si="17"/>
        <v>52748324.957915567</v>
      </c>
      <c r="L100" s="7">
        <f t="shared" si="18"/>
        <v>0.11675439464954833</v>
      </c>
      <c r="M100" s="4">
        <f>IF(6&lt;=Supuestos!$B$18,H100-Supuestos!$B$22*$C$26*(1+Supuestos!$B$9)^(6-1),0)</f>
        <v>2345262.246450854</v>
      </c>
      <c r="N100" s="4">
        <f>IF(6&lt;=Supuestos!$B$19,I100-Supuestos!$B$23*$C$29*(1+Supuestos!$B$9)^(6-1),0)</f>
        <v>6008273.0067815818</v>
      </c>
      <c r="O100" s="4">
        <f t="shared" si="19"/>
        <v>-1582194.832494521</v>
      </c>
      <c r="P100" s="4">
        <f t="shared" si="20"/>
        <v>-5491534.0947992783</v>
      </c>
    </row>
    <row r="101" spans="2:16" x14ac:dyDescent="0.3">
      <c r="B101" s="18">
        <f>Supuestos!$B$25+7-1</f>
        <v>2032</v>
      </c>
      <c r="C101" s="4">
        <f>$C$39*(1+Supuestos!$B$9)^(7-1)</f>
        <v>122040280.69885874</v>
      </c>
      <c r="D101" s="4">
        <f>IF(B101&lt;=Supuestos!$B$26,$C$38*(1+Supuestos!$B$9)^(7-1),0)</f>
        <v>31930836.434388254</v>
      </c>
      <c r="E101" s="4">
        <f t="shared" si="15"/>
        <v>90109444.264470488</v>
      </c>
      <c r="F101" s="4">
        <f>$C$43*(1+Supuestos!$B$9)^(7-1)*(1-Supuestos!$B$11)^(7-1)</f>
        <v>5187461.0863402365</v>
      </c>
      <c r="G101" s="4">
        <f>$C$44*(1+Supuestos!$B$9)^(7-1)*(1-Supuestos!$B$12)^(7-1)</f>
        <v>16481978.456951892</v>
      </c>
      <c r="H101" s="4">
        <f>IF(7&lt;=Supuestos!$B$18,$C$42*$C$31*(1+Supuestos!$B$10)^(7-1)*(1-Supuestos!$B$11)^(7-1),0)</f>
        <v>2994451.2736473726</v>
      </c>
      <c r="I101" s="4">
        <f>IF(7&lt;=Supuestos!$B$19,G101*$C$32,0)</f>
        <v>8240989.228475946</v>
      </c>
      <c r="J101" s="9">
        <f t="shared" si="16"/>
        <v>10433999.041168809</v>
      </c>
      <c r="K101" s="4">
        <f t="shared" si="17"/>
        <v>63182323.999084376</v>
      </c>
      <c r="L101" s="7">
        <f t="shared" si="18"/>
        <v>0.11579251349664423</v>
      </c>
      <c r="M101" s="4">
        <f>IF(7&lt;=Supuestos!$B$18,H101-Supuestos!$B$22*$C$26*(1+Supuestos!$B$9)^(7-1),0)</f>
        <v>2442268.5943768159</v>
      </c>
      <c r="N101" s="4">
        <f>IF(7&lt;=Supuestos!$B$19,I101-Supuestos!$B$23*$C$29*(1+Supuestos!$B$9)^(7-1),0)</f>
        <v>6264453.0678406805</v>
      </c>
      <c r="O101" s="4">
        <f t="shared" si="19"/>
        <v>860073.7618822949</v>
      </c>
      <c r="P101" s="4">
        <f t="shared" si="20"/>
        <v>772918.97304140218</v>
      </c>
    </row>
    <row r="102" spans="2:16" x14ac:dyDescent="0.3">
      <c r="B102" s="18">
        <f>Supuestos!$B$25+8-1</f>
        <v>2033</v>
      </c>
      <c r="C102" s="4">
        <f>$C$39*(1+Supuestos!$B$9)^(8-1)</f>
        <v>129362697.54079027</v>
      </c>
      <c r="D102" s="4">
        <f>IF(B102&lt;=Supuestos!$B$26,$C$38*(1+Supuestos!$B$9)^(8-1),0)</f>
        <v>0</v>
      </c>
      <c r="E102" s="4">
        <f t="shared" si="15"/>
        <v>129362697.54079027</v>
      </c>
      <c r="F102" s="4">
        <f>$C$43*(1+Supuestos!$B$9)^(8-1)*(1-Supuestos!$B$11)^(8-1)</f>
        <v>5471215.2077630479</v>
      </c>
      <c r="G102" s="4">
        <f>$C$44*(1+Supuestos!$B$9)^(8-1)*(1-Supuestos!$B$12)^(8-1)</f>
        <v>17252510.949814398</v>
      </c>
      <c r="H102" s="4">
        <f>IF(8&lt;=Supuestos!$B$18,$C$42*$C$31*(1+Supuestos!$B$10)^(8-1)*(1-Supuestos!$B$11)^(8-1),0)</f>
        <v>3128452.9681430929</v>
      </c>
      <c r="I102" s="4">
        <f>IF(8&lt;=Supuestos!$B$19,G102*$C$32,0)</f>
        <v>8626255.4749071989</v>
      </c>
      <c r="J102" s="9">
        <f t="shared" si="16"/>
        <v>10969017.714527154</v>
      </c>
      <c r="K102" s="4">
        <f t="shared" si="17"/>
        <v>74151341.713611528</v>
      </c>
      <c r="L102" s="7">
        <f t="shared" si="18"/>
        <v>8.4792741053257917E-2</v>
      </c>
      <c r="M102" s="4">
        <f>IF(8&lt;=Supuestos!$B$18,H102-Supuestos!$B$22*$C$26*(1+Supuestos!$B$9)^(8-1),0)</f>
        <v>2543139.3281163028</v>
      </c>
      <c r="N102" s="4">
        <f>IF(8&lt;=Supuestos!$B$19,I102-Supuestos!$B$23*$C$29*(1+Supuestos!$B$9)^(8-1),0)</f>
        <v>6531127.1446338166</v>
      </c>
      <c r="O102" s="4">
        <f t="shared" si="19"/>
        <v>3403213.0899985977</v>
      </c>
      <c r="P102" s="4">
        <f t="shared" si="20"/>
        <v>7304046.1176752187</v>
      </c>
    </row>
    <row r="103" spans="2:16" x14ac:dyDescent="0.3">
      <c r="B103" s="18">
        <f>Supuestos!$B$25+9-1</f>
        <v>2034</v>
      </c>
      <c r="C103" s="4">
        <f>$C$39*(1+Supuestos!$B$9)^(9-1)</f>
        <v>137124459.39323768</v>
      </c>
      <c r="D103" s="4">
        <f>IF(B103&lt;=Supuestos!$B$26,$C$38*(1+Supuestos!$B$9)^(9-1),0)</f>
        <v>0</v>
      </c>
      <c r="E103" s="4">
        <f t="shared" si="15"/>
        <v>137124459.39323768</v>
      </c>
      <c r="F103" s="4">
        <f>$C$43*(1+Supuestos!$B$9)^(9-1)*(1-Supuestos!$B$11)^(9-1)</f>
        <v>5770490.6796276867</v>
      </c>
      <c r="G103" s="4">
        <f>$C$44*(1+Supuestos!$B$9)^(9-1)*(1-Supuestos!$B$12)^(9-1)</f>
        <v>18059065.836718217</v>
      </c>
      <c r="H103" s="4">
        <f>IF(9&lt;=Supuestos!$B$18,$C$42*$C$31*(1+Supuestos!$B$10)^(9-1)*(1-Supuestos!$B$11)^(9-1),0)</f>
        <v>3268451.2384674964</v>
      </c>
      <c r="I103" s="4">
        <f>IF(9&lt;=Supuestos!$B$19,G103*$C$32,0)</f>
        <v>9029532.9183591083</v>
      </c>
      <c r="J103" s="9">
        <f t="shared" si="16"/>
        <v>11531572.359519299</v>
      </c>
      <c r="K103" s="4">
        <f t="shared" si="17"/>
        <v>85682914.073130831</v>
      </c>
      <c r="L103" s="7">
        <f t="shared" si="18"/>
        <v>8.4095663243052177E-2</v>
      </c>
      <c r="M103" s="4">
        <f>IF(9&lt;=Supuestos!$B$18,H103-Supuestos!$B$22*$C$26*(1+Supuestos!$B$9)^(9-1),0)</f>
        <v>2648018.780039099</v>
      </c>
      <c r="N103" s="4">
        <f>IF(9&lt;=Supuestos!$B$19,I103-Supuestos!$B$23*$C$29*(1+Supuestos!$B$9)^(9-1),0)</f>
        <v>6808696.8882693239</v>
      </c>
      <c r="O103" s="4">
        <f t="shared" si="19"/>
        <v>6051231.8700376973</v>
      </c>
      <c r="P103" s="4">
        <f t="shared" si="20"/>
        <v>14112743.005944543</v>
      </c>
    </row>
    <row r="104" spans="2:16" x14ac:dyDescent="0.3">
      <c r="B104" s="18">
        <f>Supuestos!$B$25+10-1</f>
        <v>2035</v>
      </c>
      <c r="C104" s="4">
        <f>$C$39*(1+Supuestos!$B$9)^(10-1)</f>
        <v>145351926.95683193</v>
      </c>
      <c r="D104" s="4">
        <f>IF(B104&lt;=Supuestos!$B$26,$C$38*(1+Supuestos!$B$9)^(10-1),0)</f>
        <v>0</v>
      </c>
      <c r="E104" s="4">
        <f t="shared" si="15"/>
        <v>145351926.95683193</v>
      </c>
      <c r="F104" s="4">
        <f>$C$43*(1+Supuestos!$B$9)^(10-1)*(1-Supuestos!$B$11)^(10-1)</f>
        <v>6086136.5198033201</v>
      </c>
      <c r="G104" s="4">
        <f>$C$44*(1+Supuestos!$B$9)^(10-1)*(1-Supuestos!$B$12)^(10-1)</f>
        <v>18903327.164584793</v>
      </c>
      <c r="H104" s="4">
        <f>IF(10&lt;=Supuestos!$B$18,$C$42*$C$31*(1+Supuestos!$B$10)^(10-1)*(1-Supuestos!$B$11)^(10-1),0)</f>
        <v>3414714.4313889169</v>
      </c>
      <c r="I104" s="4">
        <f>IF(10&lt;=Supuestos!$B$19,G104*$C$32,0)</f>
        <v>9451663.5822923966</v>
      </c>
      <c r="J104" s="9">
        <f t="shared" si="16"/>
        <v>12123085.670706797</v>
      </c>
      <c r="K104" s="4">
        <f t="shared" si="17"/>
        <v>97805999.743837625</v>
      </c>
      <c r="L104" s="7">
        <f t="shared" si="18"/>
        <v>8.3405056434561281E-2</v>
      </c>
      <c r="M104" s="4">
        <f>IF(10&lt;=Supuestos!$B$18,H104-Supuestos!$B$22*$C$26*(1+Supuestos!$B$9)^(10-1),0)</f>
        <v>2757056.0254548155</v>
      </c>
      <c r="N104" s="4">
        <f>IF(10&lt;=Supuestos!$B$19,I104-Supuestos!$B$23*$C$29*(1+Supuestos!$B$9)^(10-1),0)</f>
        <v>7097577.3903972246</v>
      </c>
      <c r="O104" s="4">
        <f t="shared" si="19"/>
        <v>8808287.8954925127</v>
      </c>
      <c r="P104" s="4">
        <f t="shared" si="20"/>
        <v>21210320.396341767</v>
      </c>
    </row>
    <row r="105" spans="2:16" x14ac:dyDescent="0.3">
      <c r="B105" s="18">
        <f>Supuestos!$B$25+11-1</f>
        <v>2036</v>
      </c>
      <c r="C105" s="4">
        <f>$C$39*(1+Supuestos!$B$9)^(11-1)</f>
        <v>154073042.57424188</v>
      </c>
      <c r="D105" s="4">
        <f>IF(B105&lt;=Supuestos!$B$26,$C$38*(1+Supuestos!$B$9)^(11-1),0)</f>
        <v>0</v>
      </c>
      <c r="E105" s="4">
        <f t="shared" si="15"/>
        <v>154073042.57424188</v>
      </c>
      <c r="F105" s="4">
        <f>$C$43*(1+Supuestos!$B$9)^(11-1)*(1-Supuestos!$B$11)^(11-1)</f>
        <v>6419048.187436563</v>
      </c>
      <c r="G105" s="4">
        <f>$C$44*(1+Supuestos!$B$9)^(11-1)*(1-Supuestos!$B$12)^(11-1)</f>
        <v>19787057.709529139</v>
      </c>
      <c r="H105" s="4">
        <f>IF(11&lt;=Supuestos!$B$18,$C$42*$C$31*(1+Supuestos!$B$10)^(11-1)*(1-Supuestos!$B$11)^(11-1),0)</f>
        <v>3567522.9021935705</v>
      </c>
      <c r="I105" s="4">
        <f>IF(11&lt;=Supuestos!$B$19,G105*$C$32,0)</f>
        <v>9893528.8547645696</v>
      </c>
      <c r="J105" s="9">
        <f t="shared" si="16"/>
        <v>12745054.140007559</v>
      </c>
      <c r="K105" s="4">
        <f t="shared" si="17"/>
        <v>110551053.88384518</v>
      </c>
      <c r="L105" s="7">
        <f t="shared" si="18"/>
        <v>8.2720857114677984E-2</v>
      </c>
      <c r="M105" s="4">
        <f>IF(11&lt;=Supuestos!$B$18,H105-Supuestos!$B$22*$C$26*(1+Supuestos!$B$9)^(11-1),0)</f>
        <v>2870404.9919034233</v>
      </c>
      <c r="N105" s="4">
        <f>IF(11&lt;=Supuestos!$B$19,I105-Supuestos!$B$23*$C$29*(1+Supuestos!$B$9)^(11-1),0)</f>
        <v>7398197.4913556874</v>
      </c>
      <c r="O105" s="4">
        <f t="shared" si="19"/>
        <v>11678692.887395937</v>
      </c>
      <c r="P105" s="4">
        <f t="shared" si="20"/>
        <v>28608517.887697455</v>
      </c>
    </row>
    <row r="106" spans="2:16" x14ac:dyDescent="0.3">
      <c r="B106" s="18">
        <f>Supuestos!$B$25+12-1</f>
        <v>2037</v>
      </c>
      <c r="C106" s="4">
        <f>$C$39*(1+Supuestos!$B$9)^(12-1)</f>
        <v>163317425.12869641</v>
      </c>
      <c r="D106" s="4">
        <f>IF(B106&lt;=Supuestos!$B$26,$C$38*(1+Supuestos!$B$9)^(12-1),0)</f>
        <v>0</v>
      </c>
      <c r="E106" s="4">
        <f t="shared" si="15"/>
        <v>163317425.12869641</v>
      </c>
      <c r="F106" s="4">
        <f>$C$43*(1+Supuestos!$B$9)^(12-1)*(1-Supuestos!$B$11)^(12-1)</f>
        <v>6770170.1232893439</v>
      </c>
      <c r="G106" s="4">
        <f>$C$44*(1+Supuestos!$B$9)^(12-1)*(1-Supuestos!$B$12)^(12-1)</f>
        <v>20712102.657449625</v>
      </c>
      <c r="H106" s="4">
        <f>IF(12&lt;=Supuestos!$B$18,$C$42*$C$31*(1+Supuestos!$B$10)^(12-1)*(1-Supuestos!$B$11)^(12-1),0)</f>
        <v>3727169.5520667336</v>
      </c>
      <c r="I106" s="4">
        <f>IF(12&lt;=Supuestos!$B$19,G106*$C$32,0)</f>
        <v>10356051.328724813</v>
      </c>
      <c r="J106" s="9">
        <f t="shared" si="16"/>
        <v>13399051.899947423</v>
      </c>
      <c r="K106" s="4">
        <f t="shared" si="17"/>
        <v>123950105.7837926</v>
      </c>
      <c r="L106" s="7">
        <f t="shared" si="18"/>
        <v>8.2043002388684394E-2</v>
      </c>
      <c r="M106" s="4">
        <f>IF(12&lt;=Supuestos!$B$18,H106-Supuestos!$B$22*$C$26*(1+Supuestos!$B$9)^(12-1),0)</f>
        <v>2988224.5671591773</v>
      </c>
      <c r="N106" s="4">
        <f>IF(12&lt;=Supuestos!$B$19,I106-Supuestos!$B$23*$C$29*(1+Supuestos!$B$9)^(12-1),0)</f>
        <v>7711000.0835113972</v>
      </c>
      <c r="O106" s="4">
        <f t="shared" si="19"/>
        <v>14666917.454555115</v>
      </c>
      <c r="P106" s="4">
        <f t="shared" si="20"/>
        <v>36319517.971208856</v>
      </c>
    </row>
    <row r="107" spans="2:16" x14ac:dyDescent="0.3">
      <c r="B107" s="18">
        <f>Supuestos!$B$25+13-1</f>
        <v>2038</v>
      </c>
      <c r="C107" s="4">
        <f>$C$39*(1+Supuestos!$B$9)^(13-1)</f>
        <v>173116470.63641819</v>
      </c>
      <c r="D107" s="4">
        <f>IF(B107&lt;=Supuestos!$B$26,$C$38*(1+Supuestos!$B$9)^(13-1),0)</f>
        <v>0</v>
      </c>
      <c r="E107" s="4">
        <f t="shared" si="15"/>
        <v>173116470.63641819</v>
      </c>
      <c r="F107" s="4">
        <f>$C$43*(1+Supuestos!$B$9)^(13-1)*(1-Supuestos!$B$11)^(13-1)</f>
        <v>7140498.429033272</v>
      </c>
      <c r="G107" s="4">
        <f>$C$44*(1+Supuestos!$B$9)^(13-1)*(1-Supuestos!$B$12)^(13-1)</f>
        <v>21680393.456685401</v>
      </c>
      <c r="H107" s="4">
        <f>IF(13&lt;=Supuestos!$B$18,$C$42*$C$31*(1+Supuestos!$B$10)^(13-1)*(1-Supuestos!$B$11)^(13-1),0)</f>
        <v>3893960.3895217194</v>
      </c>
      <c r="I107" s="4">
        <f>IF(13&lt;=Supuestos!$B$19,G107*$C$32,0)</f>
        <v>10840196.728342701</v>
      </c>
      <c r="J107" s="9">
        <f t="shared" si="16"/>
        <v>14086734.767854255</v>
      </c>
      <c r="K107" s="4">
        <f t="shared" si="17"/>
        <v>138036840.55164686</v>
      </c>
      <c r="L107" s="7">
        <f t="shared" si="18"/>
        <v>8.1371429974675405E-2</v>
      </c>
      <c r="M107" s="4">
        <f>IF(13&lt;=Supuestos!$B$18,H107-Supuestos!$B$22*$C$26*(1+Supuestos!$B$9)^(13-1),0)</f>
        <v>3110678.7055197097</v>
      </c>
      <c r="N107" s="4">
        <f>IF(13&lt;=Supuestos!$B$19,I107-Supuestos!$B$23*$C$29*(1+Supuestos!$B$9)^(13-1),0)</f>
        <v>8036442.4084164798</v>
      </c>
      <c r="O107" s="4">
        <f t="shared" si="19"/>
        <v>17777596.160074823</v>
      </c>
      <c r="P107" s="4">
        <f t="shared" si="20"/>
        <v>44355960.379625335</v>
      </c>
    </row>
    <row r="108" spans="2:16" x14ac:dyDescent="0.3">
      <c r="B108" s="18">
        <f>Supuestos!$B$25+14-1</f>
        <v>2039</v>
      </c>
      <c r="C108" s="4">
        <f>$C$39*(1+Supuestos!$B$9)^(14-1)</f>
        <v>183503458.8746033</v>
      </c>
      <c r="D108" s="4">
        <f>IF(B108&lt;=Supuestos!$B$26,$C$38*(1+Supuestos!$B$9)^(14-1),0)</f>
        <v>0</v>
      </c>
      <c r="E108" s="4">
        <f t="shared" si="15"/>
        <v>183503458.8746033</v>
      </c>
      <c r="F108" s="4">
        <f>$C$43*(1+Supuestos!$B$9)^(14-1)*(1-Supuestos!$B$11)^(14-1)</f>
        <v>7531083.6931013921</v>
      </c>
      <c r="G108" s="4">
        <f>$C$44*(1+Supuestos!$B$9)^(14-1)*(1-Supuestos!$B$12)^(14-1)</f>
        <v>22693951.850785449</v>
      </c>
      <c r="H108" s="4">
        <f>IF(14&lt;=Supuestos!$B$18,$C$42*$C$31*(1+Supuestos!$B$10)^(14-1)*(1-Supuestos!$B$11)^(14-1),0)</f>
        <v>4068215.116952817</v>
      </c>
      <c r="I108" s="4">
        <f>IF(14&lt;=Supuestos!$B$19,G108*$C$32,0)</f>
        <v>11346975.925392725</v>
      </c>
      <c r="J108" s="9">
        <f t="shared" si="16"/>
        <v>14809844.501541298</v>
      </c>
      <c r="K108" s="4">
        <f t="shared" si="17"/>
        <v>152846685.05318815</v>
      </c>
      <c r="L108" s="7">
        <f t="shared" si="18"/>
        <v>8.0706078198022266E-2</v>
      </c>
      <c r="M108" s="4">
        <f>IF(14&lt;=Supuestos!$B$18,H108-Supuestos!$B$22*$C$26*(1+Supuestos!$B$9)^(14-1),0)</f>
        <v>3237936.5319106868</v>
      </c>
      <c r="N108" s="4">
        <f>IF(14&lt;=Supuestos!$B$19,I108-Supuestos!$B$23*$C$29*(1+Supuestos!$B$9)^(14-1),0)</f>
        <v>8374996.34627093</v>
      </c>
      <c r="O108" s="4">
        <f t="shared" si="19"/>
        <v>21015532.69198551</v>
      </c>
      <c r="P108" s="4">
        <f t="shared" si="20"/>
        <v>52730956.725896269</v>
      </c>
    </row>
    <row r="109" spans="2:16" x14ac:dyDescent="0.3">
      <c r="B109" s="18">
        <f>Supuestos!$B$25+15-1</f>
        <v>2040</v>
      </c>
      <c r="C109" s="4">
        <f>$C$39*(1+Supuestos!$B$9)^(15-1)</f>
        <v>194513666.40707949</v>
      </c>
      <c r="D109" s="4">
        <f>IF(B109&lt;=Supuestos!$B$26,$C$38*(1+Supuestos!$B$9)^(15-1),0)</f>
        <v>0</v>
      </c>
      <c r="E109" s="4">
        <f t="shared" si="15"/>
        <v>194513666.40707949</v>
      </c>
      <c r="F109" s="4">
        <f>$C$43*(1+Supuestos!$B$9)^(15-1)*(1-Supuestos!$B$11)^(15-1)</f>
        <v>7943033.9711140385</v>
      </c>
      <c r="G109" s="4">
        <f>$C$44*(1+Supuestos!$B$9)^(15-1)*(1-Supuestos!$B$12)^(15-1)</f>
        <v>23754894.099809665</v>
      </c>
      <c r="H109" s="4">
        <f>IF(15&lt;=Supuestos!$B$18,$C$42*$C$31*(1+Supuestos!$B$10)^(15-1)*(1-Supuestos!$B$11)^(15-1),0)</f>
        <v>4250267.7434364557</v>
      </c>
      <c r="I109" s="4">
        <f>IF(15&lt;=Supuestos!$B$19,G109*$C$32,0)</f>
        <v>11877447.049904833</v>
      </c>
      <c r="J109" s="9">
        <f t="shared" si="16"/>
        <v>15570213.277582416</v>
      </c>
      <c r="K109" s="4">
        <f t="shared" si="17"/>
        <v>168416898.33077055</v>
      </c>
      <c r="L109" s="7">
        <f t="shared" si="18"/>
        <v>8.0046885985877059E-2</v>
      </c>
      <c r="M109" s="4">
        <f>IF(15&lt;=Supuestos!$B$18,H109-Supuestos!$B$22*$C$26*(1+Supuestos!$B$9)^(15-1),0)</f>
        <v>3370172.4432917973</v>
      </c>
      <c r="N109" s="4">
        <f>IF(15&lt;=Supuestos!$B$19,I109-Supuestos!$B$23*$C$29*(1+Supuestos!$B$9)^(15-1),0)</f>
        <v>8727148.6960357297</v>
      </c>
      <c r="O109" s="4">
        <f t="shared" si="19"/>
        <v>24385705.135277309</v>
      </c>
      <c r="P109" s="4">
        <f t="shared" si="20"/>
        <v>61458105.421931997</v>
      </c>
    </row>
    <row r="110" spans="2:16" x14ac:dyDescent="0.3">
      <c r="B110" s="18">
        <f>Supuestos!$B$25+16-1</f>
        <v>2041</v>
      </c>
      <c r="C110" s="4">
        <f>$C$39*(1+Supuestos!$B$9)^(16-1)</f>
        <v>206184486.39150432</v>
      </c>
      <c r="D110" s="4">
        <f>IF(B110&lt;=Supuestos!$B$26,$C$38*(1+Supuestos!$B$9)^(16-1),0)</f>
        <v>0</v>
      </c>
      <c r="E110" s="4">
        <f t="shared" si="15"/>
        <v>206184486.39150432</v>
      </c>
      <c r="F110" s="4">
        <f>$C$43*(1+Supuestos!$B$9)^(16-1)*(1-Supuestos!$B$11)^(16-1)</f>
        <v>8377517.9293339793</v>
      </c>
      <c r="G110" s="4">
        <f>$C$44*(1+Supuestos!$B$9)^(16-1)*(1-Supuestos!$B$12)^(16-1)</f>
        <v>24865435.398975775</v>
      </c>
      <c r="H110" s="4">
        <f>IF(16&lt;=Supuestos!$B$18,$C$42*$C$31*(1+Supuestos!$B$10)^(16-1)*(1-Supuestos!$B$11)^(16-1),0)</f>
        <v>0</v>
      </c>
      <c r="I110" s="4">
        <f>IF(16&lt;=Supuestos!$B$19,G110*$C$32,0)</f>
        <v>0</v>
      </c>
      <c r="J110" s="9">
        <f t="shared" si="16"/>
        <v>33242953.328309752</v>
      </c>
      <c r="K110" s="4">
        <f t="shared" si="17"/>
        <v>201659851.6590803</v>
      </c>
      <c r="L110" s="7">
        <f t="shared" si="18"/>
        <v>0.16122916864456929</v>
      </c>
      <c r="M110" s="4">
        <f>IF(16&lt;=Supuestos!$B$18,H110-Supuestos!$B$22*$C$26*(1+Supuestos!$B$9)^(16-1),0)</f>
        <v>0</v>
      </c>
      <c r="N110" s="4">
        <f>IF(16&lt;=Supuestos!$B$19,I110-Supuestos!$B$23*$C$29*(1+Supuestos!$B$9)^(16-1),0)</f>
        <v>0</v>
      </c>
      <c r="O110" s="4">
        <f t="shared" si="19"/>
        <v>24385705.135277309</v>
      </c>
      <c r="P110" s="4">
        <f t="shared" si="20"/>
        <v>61458105.421931997</v>
      </c>
    </row>
    <row r="111" spans="2:16" x14ac:dyDescent="0.3">
      <c r="B111" s="18">
        <f>Supuestos!$B$25+17-1</f>
        <v>2042</v>
      </c>
      <c r="C111" s="4">
        <f>$C$39*(1+Supuestos!$B$9)^(17-1)</f>
        <v>218555555.57499453</v>
      </c>
      <c r="D111" s="4">
        <f>IF(B111&lt;=Supuestos!$B$26,$C$38*(1+Supuestos!$B$9)^(17-1),0)</f>
        <v>0</v>
      </c>
      <c r="E111" s="4">
        <f t="shared" si="15"/>
        <v>218555555.57499453</v>
      </c>
      <c r="F111" s="4">
        <f>$C$43*(1+Supuestos!$B$9)^(17-1)*(1-Supuestos!$B$11)^(17-1)</f>
        <v>8835768.1600685436</v>
      </c>
      <c r="G111" s="4">
        <f>$C$44*(1+Supuestos!$B$9)^(17-1)*(1-Supuestos!$B$12)^(17-1)</f>
        <v>26027894.503877886</v>
      </c>
      <c r="H111" s="4">
        <f>IF(17&lt;=Supuestos!$B$18,$C$42*$C$31*(1+Supuestos!$B$10)^(17-1)*(1-Supuestos!$B$11)^(17-1),0)</f>
        <v>0</v>
      </c>
      <c r="I111" s="4">
        <f>IF(17&lt;=Supuestos!$B$19,G111*$C$32,0)</f>
        <v>0</v>
      </c>
      <c r="J111" s="9">
        <f t="shared" si="16"/>
        <v>34863662.663946427</v>
      </c>
      <c r="K111" s="4">
        <f t="shared" si="17"/>
        <v>236523514.32302672</v>
      </c>
      <c r="L111" s="7">
        <f t="shared" si="18"/>
        <v>0.15951853784830194</v>
      </c>
      <c r="M111" s="4">
        <f>IF(17&lt;=Supuestos!$B$18,H111-Supuestos!$B$22*$C$26*(1+Supuestos!$B$9)^(17-1),0)</f>
        <v>0</v>
      </c>
      <c r="N111" s="4">
        <f>IF(17&lt;=Supuestos!$B$19,I111-Supuestos!$B$23*$C$29*(1+Supuestos!$B$9)^(17-1),0)</f>
        <v>0</v>
      </c>
      <c r="O111" s="4">
        <f t="shared" si="19"/>
        <v>24385705.135277309</v>
      </c>
      <c r="P111" s="4">
        <f t="shared" si="20"/>
        <v>61458105.421931997</v>
      </c>
    </row>
    <row r="112" spans="2:16" x14ac:dyDescent="0.3">
      <c r="B112" s="18">
        <f>Supuestos!$B$25+18-1</f>
        <v>2043</v>
      </c>
      <c r="C112" s="4">
        <f>$C$39*(1+Supuestos!$B$9)^(18-1)</f>
        <v>231668888.90949422</v>
      </c>
      <c r="D112" s="4">
        <f>IF(B112&lt;=Supuestos!$B$26,$C$38*(1+Supuestos!$B$9)^(18-1),0)</f>
        <v>0</v>
      </c>
      <c r="E112" s="4">
        <f t="shared" si="15"/>
        <v>231668888.90949422</v>
      </c>
      <c r="F112" s="4">
        <f>$C$43*(1+Supuestos!$B$9)^(18-1)*(1-Supuestos!$B$11)^(18-1)</f>
        <v>9319084.6784242969</v>
      </c>
      <c r="G112" s="4">
        <f>$C$44*(1+Supuestos!$B$9)^(18-1)*(1-Supuestos!$B$12)^(18-1)</f>
        <v>27244698.571934182</v>
      </c>
      <c r="H112" s="4">
        <f>IF(18&lt;=Supuestos!$B$18,$C$42*$C$31*(1+Supuestos!$B$10)^(18-1)*(1-Supuestos!$B$11)^(18-1),0)</f>
        <v>0</v>
      </c>
      <c r="I112" s="4">
        <f>IF(18&lt;=Supuestos!$B$19,G112*$C$32,0)</f>
        <v>0</v>
      </c>
      <c r="J112" s="9">
        <f t="shared" si="16"/>
        <v>36563783.250358477</v>
      </c>
      <c r="K112" s="4">
        <f t="shared" si="17"/>
        <v>273087297.57338518</v>
      </c>
      <c r="L112" s="7">
        <f t="shared" si="18"/>
        <v>0.15782776626792905</v>
      </c>
      <c r="M112" s="4">
        <f>IF(18&lt;=Supuestos!$B$18,H112-Supuestos!$B$22*$C$26*(1+Supuestos!$B$9)^(18-1),0)</f>
        <v>0</v>
      </c>
      <c r="N112" s="4">
        <f>IF(18&lt;=Supuestos!$B$19,I112-Supuestos!$B$23*$C$29*(1+Supuestos!$B$9)^(18-1),0)</f>
        <v>0</v>
      </c>
      <c r="O112" s="4">
        <f t="shared" si="19"/>
        <v>24385705.135277309</v>
      </c>
      <c r="P112" s="4">
        <f t="shared" si="20"/>
        <v>61458105.421931997</v>
      </c>
    </row>
    <row r="113" spans="1:16" x14ac:dyDescent="0.3">
      <c r="B113" s="18">
        <f>Supuestos!$B$25+19-1</f>
        <v>2044</v>
      </c>
      <c r="C113" s="4">
        <f>$C$39*(1+Supuestos!$B$9)^(19-1)</f>
        <v>245569022.24406388</v>
      </c>
      <c r="D113" s="4">
        <f>IF(B113&lt;=Supuestos!$B$26,$C$38*(1+Supuestos!$B$9)^(19-1),0)</f>
        <v>0</v>
      </c>
      <c r="E113" s="4">
        <f t="shared" si="15"/>
        <v>245569022.24406388</v>
      </c>
      <c r="F113" s="4">
        <f>$C$43*(1+Supuestos!$B$9)^(19-1)*(1-Supuestos!$B$11)^(19-1)</f>
        <v>9828838.6103341039</v>
      </c>
      <c r="G113" s="4">
        <f>$C$44*(1+Supuestos!$B$9)^(19-1)*(1-Supuestos!$B$12)^(19-1)</f>
        <v>28518388.230172101</v>
      </c>
      <c r="H113" s="4">
        <f>IF(19&lt;=Supuestos!$B$18,$C$42*$C$31*(1+Supuestos!$B$10)^(19-1)*(1-Supuestos!$B$11)^(19-1),0)</f>
        <v>0</v>
      </c>
      <c r="I113" s="4">
        <f>IF(19&lt;=Supuestos!$B$19,G113*$C$32,0)</f>
        <v>0</v>
      </c>
      <c r="J113" s="9">
        <f t="shared" si="16"/>
        <v>38347226.840506203</v>
      </c>
      <c r="K113" s="4">
        <f t="shared" si="17"/>
        <v>311434524.41389138</v>
      </c>
      <c r="L113" s="7">
        <f t="shared" si="18"/>
        <v>0.15615661328159711</v>
      </c>
      <c r="M113" s="4">
        <f>IF(19&lt;=Supuestos!$B$18,H113-Supuestos!$B$22*$C$26*(1+Supuestos!$B$9)^(19-1),0)</f>
        <v>0</v>
      </c>
      <c r="N113" s="4">
        <f>IF(19&lt;=Supuestos!$B$19,I113-Supuestos!$B$23*$C$29*(1+Supuestos!$B$9)^(19-1),0)</f>
        <v>0</v>
      </c>
      <c r="O113" s="4">
        <f t="shared" si="19"/>
        <v>24385705.135277309</v>
      </c>
      <c r="P113" s="4">
        <f t="shared" si="20"/>
        <v>61458105.421931997</v>
      </c>
    </row>
    <row r="114" spans="1:16" x14ac:dyDescent="0.3">
      <c r="B114" s="18">
        <f>Supuestos!$B$25+20-1</f>
        <v>2045</v>
      </c>
      <c r="C114" s="4">
        <f>$C$39*(1+Supuestos!$B$9)^(20-1)</f>
        <v>260303163.57870775</v>
      </c>
      <c r="D114" s="4">
        <f>IF(B114&lt;=Supuestos!$B$26,$C$38*(1+Supuestos!$B$9)^(20-1),0)</f>
        <v>0</v>
      </c>
      <c r="E114" s="4">
        <f t="shared" si="15"/>
        <v>260303163.57870775</v>
      </c>
      <c r="F114" s="4">
        <f>$C$43*(1+Supuestos!$B$9)^(20-1)*(1-Supuestos!$B$11)^(20-1)</f>
        <v>10366476.082319381</v>
      </c>
      <c r="G114" s="4">
        <f>$C$44*(1+Supuestos!$B$9)^(20-1)*(1-Supuestos!$B$12)^(20-1)</f>
        <v>29851622.879932657</v>
      </c>
      <c r="H114" s="4">
        <f>IF(20&lt;=Supuestos!$B$18,$C$42*$C$31*(1+Supuestos!$B$10)^(20-1)*(1-Supuestos!$B$11)^(20-1),0)</f>
        <v>0</v>
      </c>
      <c r="I114" s="4">
        <f>IF(20&lt;=Supuestos!$B$19,G114*$C$32,0)</f>
        <v>0</v>
      </c>
      <c r="J114" s="9">
        <f t="shared" si="16"/>
        <v>40218098.962252036</v>
      </c>
      <c r="K114" s="4">
        <f t="shared" si="17"/>
        <v>351652623.3761434</v>
      </c>
      <c r="L114" s="7">
        <f t="shared" si="18"/>
        <v>0.15450484123713429</v>
      </c>
      <c r="M114" s="4">
        <f>IF(20&lt;=Supuestos!$B$18,H114-Supuestos!$B$22*$C$26*(1+Supuestos!$B$9)^(20-1),0)</f>
        <v>0</v>
      </c>
      <c r="N114" s="4">
        <f>IF(20&lt;=Supuestos!$B$19,I114-Supuestos!$B$23*$C$29*(1+Supuestos!$B$9)^(20-1),0)</f>
        <v>0</v>
      </c>
      <c r="O114" s="4">
        <f t="shared" si="19"/>
        <v>24385705.135277309</v>
      </c>
      <c r="P114" s="4">
        <f t="shared" si="20"/>
        <v>61458105.421931997</v>
      </c>
    </row>
    <row r="117" spans="1:16" x14ac:dyDescent="0.3">
      <c r="A117" s="1" t="s">
        <v>185</v>
      </c>
    </row>
    <row r="118" spans="1:16" x14ac:dyDescent="0.3">
      <c r="B118" s="2" t="s">
        <v>169</v>
      </c>
      <c r="C118" s="2" t="s">
        <v>170</v>
      </c>
      <c r="D118" s="2" t="s">
        <v>171</v>
      </c>
      <c r="E118" s="2" t="s">
        <v>172</v>
      </c>
      <c r="F118" s="2" t="s">
        <v>173</v>
      </c>
      <c r="G118" s="2" t="s">
        <v>174</v>
      </c>
      <c r="H118" s="2" t="s">
        <v>175</v>
      </c>
      <c r="I118" s="2" t="s">
        <v>176</v>
      </c>
      <c r="J118" s="2" t="s">
        <v>177</v>
      </c>
      <c r="K118" s="2" t="s">
        <v>178</v>
      </c>
      <c r="L118" s="2" t="s">
        <v>179</v>
      </c>
      <c r="M118" s="2" t="s">
        <v>180</v>
      </c>
      <c r="N118" s="2" t="s">
        <v>181</v>
      </c>
      <c r="O118" s="2" t="s">
        <v>182</v>
      </c>
      <c r="P118" s="2" t="s">
        <v>183</v>
      </c>
    </row>
    <row r="119" spans="1:16" x14ac:dyDescent="0.3">
      <c r="B119" t="s">
        <v>184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f>-$D$34</f>
        <v>-9576025.875</v>
      </c>
      <c r="N119" s="4">
        <f>-$D$36</f>
        <v>-38039274</v>
      </c>
      <c r="O119" s="4">
        <f>M119</f>
        <v>-9576025.875</v>
      </c>
      <c r="P119" s="4">
        <f>N119</f>
        <v>-38039274</v>
      </c>
    </row>
    <row r="120" spans="1:16" x14ac:dyDescent="0.3">
      <c r="B120" s="18">
        <f>Supuestos!$B$25+1-1</f>
        <v>2026</v>
      </c>
      <c r="C120" s="4">
        <f>$D$39*(1+Supuestos!$B$9)^(1-1)</f>
        <v>86033582.236877248</v>
      </c>
      <c r="D120" s="4">
        <f>IF(B120&lt;=Supuestos!$B$26,$D$38*(1+Supuestos!$B$9)^(1-1),0)</f>
        <v>22509979.70947725</v>
      </c>
      <c r="E120" s="4">
        <f t="shared" ref="E120:E139" si="21">C120-D120</f>
        <v>63523602.527400002</v>
      </c>
      <c r="F120" s="4">
        <f>$D$43*(1+Supuestos!$B$9)^(1-1)*(1-Supuestos!$B$11)^(1-1)</f>
        <v>2519359.8322272613</v>
      </c>
      <c r="G120" s="4">
        <f>$D$44*(1+Supuestos!$B$9)^(1-1)*(1-Supuestos!$B$12)^(1-1)</f>
        <v>12530013.092158996</v>
      </c>
      <c r="H120" s="4">
        <f>IF(1&lt;=Supuestos!$B$18,$D$42*$D$31*(1+Supuestos!$B$10)^(1-1)*(1-Supuestos!$B$11)^(1-1),0)</f>
        <v>1539401.5192886211</v>
      </c>
      <c r="I120" s="4">
        <f>IF(1&lt;=Supuestos!$B$19,G120*$D$32,0)</f>
        <v>6265006.5460794978</v>
      </c>
      <c r="J120" s="9">
        <f t="shared" ref="J120:J139" si="22">F120+G120-H120-I120</f>
        <v>7244964.8590181377</v>
      </c>
      <c r="K120" s="4">
        <f t="shared" ref="K120:K139" si="23">K119+J120</f>
        <v>7244964.8590181377</v>
      </c>
      <c r="L120" s="7">
        <f t="shared" ref="L120:L139" si="24">IF(E120&gt;0,J120/E120,0)</f>
        <v>0.11405154258833361</v>
      </c>
      <c r="M120" s="4">
        <f>IF(1&lt;=Supuestos!$B$18,H120-Supuestos!$B$22*$D$26*(1+Supuestos!$B$9)^(1-1),0)</f>
        <v>1279172.0192886211</v>
      </c>
      <c r="N120" s="4">
        <f>IF(1&lt;=Supuestos!$B$19,I120-Supuestos!$B$23*$D$29*(1+Supuestos!$B$9)^(1-1),0)</f>
        <v>4871626.5460794978</v>
      </c>
      <c r="O120" s="4">
        <f t="shared" ref="O120:O139" si="25">O119+M120</f>
        <v>-8296853.8557113791</v>
      </c>
      <c r="P120" s="4">
        <f t="shared" ref="P120:P139" si="26">P119+N120</f>
        <v>-33167647.453920502</v>
      </c>
    </row>
    <row r="121" spans="1:16" x14ac:dyDescent="0.3">
      <c r="B121" s="18">
        <f>Supuestos!$B$25+2-1</f>
        <v>2027</v>
      </c>
      <c r="C121" s="4">
        <f>$D$39*(1+Supuestos!$B$9)^(2-1)</f>
        <v>91195597.171089888</v>
      </c>
      <c r="D121" s="4">
        <f>IF(B121&lt;=Supuestos!$B$26,$D$38*(1+Supuestos!$B$9)^(2-1),0)</f>
        <v>23860578.492045887</v>
      </c>
      <c r="E121" s="4">
        <f t="shared" si="21"/>
        <v>67335018.679044008</v>
      </c>
      <c r="F121" s="4">
        <f>$D$43*(1+Supuestos!$B$9)^(2-1)*(1-Supuestos!$B$11)^(2-1)</f>
        <v>2657168.8150500925</v>
      </c>
      <c r="G121" s="4">
        <f>$D$44*(1+Supuestos!$B$9)^(2-1)*(1-Supuestos!$B$12)^(2-1)</f>
        <v>13115791.20421743</v>
      </c>
      <c r="H121" s="4">
        <f>IF(2&lt;=Supuestos!$B$18,$D$42*$D$31*(1+Supuestos!$B$10)^(2-1)*(1-Supuestos!$B$11)^(2-1),0)</f>
        <v>1608289.7372767869</v>
      </c>
      <c r="I121" s="4">
        <f>IF(2&lt;=Supuestos!$B$19,G121*$D$32,0)</f>
        <v>6557895.6021087151</v>
      </c>
      <c r="J121" s="9">
        <f t="shared" si="22"/>
        <v>7606774.6798820198</v>
      </c>
      <c r="K121" s="4">
        <f t="shared" si="23"/>
        <v>14851739.538900157</v>
      </c>
      <c r="L121" s="7">
        <f t="shared" si="24"/>
        <v>0.11296907358324382</v>
      </c>
      <c r="M121" s="4">
        <f>IF(2&lt;=Supuestos!$B$18,H121-Supuestos!$B$22*$D$26*(1+Supuestos!$B$9)^(2-1),0)</f>
        <v>1332446.4672767869</v>
      </c>
      <c r="N121" s="4">
        <f>IF(2&lt;=Supuestos!$B$19,I121-Supuestos!$B$23*$D$29*(1+Supuestos!$B$9)^(2-1),0)</f>
        <v>5080912.8021087153</v>
      </c>
      <c r="O121" s="4">
        <f t="shared" si="25"/>
        <v>-6964407.3884345926</v>
      </c>
      <c r="P121" s="4">
        <f t="shared" si="26"/>
        <v>-28086734.651811786</v>
      </c>
    </row>
    <row r="122" spans="1:16" x14ac:dyDescent="0.3">
      <c r="B122" s="18">
        <f>Supuestos!$B$25+3-1</f>
        <v>2028</v>
      </c>
      <c r="C122" s="4">
        <f>$D$39*(1+Supuestos!$B$9)^(3-1)</f>
        <v>96667333.00135529</v>
      </c>
      <c r="D122" s="4">
        <f>IF(B122&lt;=Supuestos!$B$26,$D$38*(1+Supuestos!$B$9)^(3-1),0)</f>
        <v>25292213.201568641</v>
      </c>
      <c r="E122" s="4">
        <f t="shared" si="21"/>
        <v>71375119.799786657</v>
      </c>
      <c r="F122" s="4">
        <f>$D$43*(1+Supuestos!$B$9)^(3-1)*(1-Supuestos!$B$11)^(3-1)</f>
        <v>2802515.9492333331</v>
      </c>
      <c r="G122" s="4">
        <f>$D$44*(1+Supuestos!$B$9)^(3-1)*(1-Supuestos!$B$12)^(3-1)</f>
        <v>13728954.443014596</v>
      </c>
      <c r="H122" s="4">
        <f>IF(3&lt;=Supuestos!$B$18,$D$42*$D$31*(1+Supuestos!$B$10)^(3-1)*(1-Supuestos!$B$11)^(3-1),0)</f>
        <v>1680260.7030199233</v>
      </c>
      <c r="I122" s="4">
        <f>IF(3&lt;=Supuestos!$B$19,G122*$D$32,0)</f>
        <v>6864477.2215072978</v>
      </c>
      <c r="J122" s="9">
        <f t="shared" si="22"/>
        <v>7986732.4677207079</v>
      </c>
      <c r="K122" s="4">
        <f t="shared" si="23"/>
        <v>22838472.006620865</v>
      </c>
      <c r="L122" s="7">
        <f t="shared" si="24"/>
        <v>0.1118979903658891</v>
      </c>
      <c r="M122" s="4">
        <f>IF(3&lt;=Supuestos!$B$18,H122-Supuestos!$B$22*$D$26*(1+Supuestos!$B$9)^(3-1),0)</f>
        <v>1387866.8368199233</v>
      </c>
      <c r="N122" s="4">
        <f>IF(3&lt;=Supuestos!$B$19,I122-Supuestos!$B$23*$D$29*(1+Supuestos!$B$9)^(3-1),0)</f>
        <v>5298875.4535072977</v>
      </c>
      <c r="O122" s="4">
        <f t="shared" si="25"/>
        <v>-5576540.5516146692</v>
      </c>
      <c r="P122" s="4">
        <f t="shared" si="26"/>
        <v>-22787859.198304489</v>
      </c>
    </row>
    <row r="123" spans="1:16" x14ac:dyDescent="0.3">
      <c r="B123" s="18">
        <f>Supuestos!$B$25+4-1</f>
        <v>2029</v>
      </c>
      <c r="C123" s="4">
        <f>$D$39*(1+Supuestos!$B$9)^(4-1)</f>
        <v>102467372.98143661</v>
      </c>
      <c r="D123" s="4">
        <f>IF(B123&lt;=Supuestos!$B$26,$D$38*(1+Supuestos!$B$9)^(4-1),0)</f>
        <v>26809745.993662763</v>
      </c>
      <c r="E123" s="4">
        <f t="shared" si="21"/>
        <v>75657626.987773851</v>
      </c>
      <c r="F123" s="4">
        <f>$D$43*(1+Supuestos!$B$9)^(4-1)*(1-Supuestos!$B$11)^(4-1)</f>
        <v>2955813.5716563966</v>
      </c>
      <c r="G123" s="4">
        <f>$D$44*(1+Supuestos!$B$9)^(4-1)*(1-Supuestos!$B$12)^(4-1)</f>
        <v>14370783.06322553</v>
      </c>
      <c r="H123" s="4">
        <f>IF(4&lt;=Supuestos!$B$18,$D$42*$D$31*(1+Supuestos!$B$10)^(4-1)*(1-Supuestos!$B$11)^(4-1),0)</f>
        <v>1755452.3694800651</v>
      </c>
      <c r="I123" s="4">
        <f>IF(4&lt;=Supuestos!$B$19,G123*$D$32,0)</f>
        <v>7185391.531612765</v>
      </c>
      <c r="J123" s="9">
        <f t="shared" si="22"/>
        <v>8385752.7337890975</v>
      </c>
      <c r="K123" s="4">
        <f t="shared" si="23"/>
        <v>31224224.740409963</v>
      </c>
      <c r="L123" s="7">
        <f t="shared" si="24"/>
        <v>0.11083816751408582</v>
      </c>
      <c r="M123" s="4">
        <f>IF(4&lt;=Supuestos!$B$18,H123-Supuestos!$B$22*$D$26*(1+Supuestos!$B$9)^(4-1),0)</f>
        <v>1445514.871308065</v>
      </c>
      <c r="N123" s="4">
        <f>IF(4&lt;=Supuestos!$B$19,I123-Supuestos!$B$23*$D$29*(1+Supuestos!$B$9)^(4-1),0)</f>
        <v>5525853.6575327646</v>
      </c>
      <c r="O123" s="4">
        <f t="shared" si="25"/>
        <v>-4131025.6803066041</v>
      </c>
      <c r="P123" s="4">
        <f t="shared" si="26"/>
        <v>-17262005.540771723</v>
      </c>
    </row>
    <row r="124" spans="1:16" x14ac:dyDescent="0.3">
      <c r="B124" s="18">
        <f>Supuestos!$B$25+5-1</f>
        <v>2030</v>
      </c>
      <c r="C124" s="4">
        <f>$D$39*(1+Supuestos!$B$9)^(5-1)</f>
        <v>108615415.36032282</v>
      </c>
      <c r="D124" s="4">
        <f>IF(B124&lt;=Supuestos!$B$26,$D$38*(1+Supuestos!$B$9)^(5-1),0)</f>
        <v>28418330.753282528</v>
      </c>
      <c r="E124" s="4">
        <f t="shared" si="21"/>
        <v>80197084.607040286</v>
      </c>
      <c r="F124" s="4">
        <f>$D$43*(1+Supuestos!$B$9)^(5-1)*(1-Supuestos!$B$11)^(5-1)</f>
        <v>3117496.5740260016</v>
      </c>
      <c r="G124" s="4">
        <f>$D$44*(1+Supuestos!$B$9)^(5-1)*(1-Supuestos!$B$12)^(5-1)</f>
        <v>15042617.171431325</v>
      </c>
      <c r="H124" s="4">
        <f>IF(5&lt;=Supuestos!$B$18,$D$42*$D$31*(1+Supuestos!$B$10)^(5-1)*(1-Supuestos!$B$11)^(5-1),0)</f>
        <v>1834008.8630142978</v>
      </c>
      <c r="I124" s="4">
        <f>IF(5&lt;=Supuestos!$B$19,G124*$D$32,0)</f>
        <v>7521308.5857156627</v>
      </c>
      <c r="J124" s="9">
        <f t="shared" si="22"/>
        <v>8804796.2967273686</v>
      </c>
      <c r="K124" s="4">
        <f t="shared" si="23"/>
        <v>40029021.03713733</v>
      </c>
      <c r="L124" s="7">
        <f t="shared" si="24"/>
        <v>0.10978948100009135</v>
      </c>
      <c r="M124" s="4">
        <f>IF(5&lt;=Supuestos!$B$18,H124-Supuestos!$B$22*$D$26*(1+Supuestos!$B$9)^(5-1),0)</f>
        <v>1505475.1149519777</v>
      </c>
      <c r="N124" s="4">
        <f>IF(5&lt;=Supuestos!$B$19,I124-Supuestos!$B$23*$D$29*(1+Supuestos!$B$9)^(5-1),0)</f>
        <v>5762198.4391908627</v>
      </c>
      <c r="O124" s="4">
        <f t="shared" si="25"/>
        <v>-2625550.5653546266</v>
      </c>
      <c r="P124" s="4">
        <f t="shared" si="26"/>
        <v>-11499807.10158086</v>
      </c>
    </row>
    <row r="125" spans="1:16" x14ac:dyDescent="0.3">
      <c r="B125" s="18">
        <f>Supuestos!$B$25+6-1</f>
        <v>2031</v>
      </c>
      <c r="C125" s="4">
        <f>$D$39*(1+Supuestos!$B$9)^(6-1)</f>
        <v>115132340.2819422</v>
      </c>
      <c r="D125" s="4">
        <f>IF(B125&lt;=Supuestos!$B$26,$D$38*(1+Supuestos!$B$9)^(6-1),0)</f>
        <v>30123430.598479483</v>
      </c>
      <c r="E125" s="4">
        <f t="shared" si="21"/>
        <v>85008909.683462724</v>
      </c>
      <c r="F125" s="4">
        <f>$D$43*(1+Supuestos!$B$9)^(6-1)*(1-Supuestos!$B$11)^(6-1)</f>
        <v>3288023.6366252243</v>
      </c>
      <c r="G125" s="4">
        <f>$D$44*(1+Supuestos!$B$9)^(6-1)*(1-Supuestos!$B$12)^(6-1)</f>
        <v>15745859.524195742</v>
      </c>
      <c r="H125" s="4">
        <f>IF(6&lt;=Supuestos!$B$18,$D$42*$D$31*(1+Supuestos!$B$10)^(6-1)*(1-Supuestos!$B$11)^(6-1),0)</f>
        <v>1916080.7596341879</v>
      </c>
      <c r="I125" s="4">
        <f>IF(6&lt;=Supuestos!$B$19,G125*$D$32,0)</f>
        <v>7872929.7620978709</v>
      </c>
      <c r="J125" s="9">
        <f t="shared" si="22"/>
        <v>9244872.6390889045</v>
      </c>
      <c r="K125" s="4">
        <f t="shared" si="23"/>
        <v>49273893.676226236</v>
      </c>
      <c r="L125" s="7">
        <f t="shared" si="24"/>
        <v>0.10875180817531839</v>
      </c>
      <c r="M125" s="4">
        <f>IF(6&lt;=Supuestos!$B$18,H125-Supuestos!$B$22*$D$26*(1+Supuestos!$B$9)^(6-1),0)</f>
        <v>1567834.9866881287</v>
      </c>
      <c r="N125" s="4">
        <f>IF(6&lt;=Supuestos!$B$19,I125-Supuestos!$B$23*$D$29*(1+Supuestos!$B$9)^(6-1),0)</f>
        <v>6008273.0067815818</v>
      </c>
      <c r="O125" s="4">
        <f t="shared" si="25"/>
        <v>-1057715.578666498</v>
      </c>
      <c r="P125" s="4">
        <f t="shared" si="26"/>
        <v>-5491534.0947992783</v>
      </c>
    </row>
    <row r="126" spans="1:16" x14ac:dyDescent="0.3">
      <c r="B126" s="18">
        <f>Supuestos!$B$25+7-1</f>
        <v>2032</v>
      </c>
      <c r="C126" s="4">
        <f>$D$39*(1+Supuestos!$B$9)^(7-1)</f>
        <v>122040280.69885874</v>
      </c>
      <c r="D126" s="4">
        <f>IF(B126&lt;=Supuestos!$B$26,$D$38*(1+Supuestos!$B$9)^(7-1),0)</f>
        <v>31930836.434388254</v>
      </c>
      <c r="E126" s="4">
        <f t="shared" si="21"/>
        <v>90109444.264470488</v>
      </c>
      <c r="F126" s="4">
        <f>$D$43*(1+Supuestos!$B$9)^(7-1)*(1-Supuestos!$B$11)^(7-1)</f>
        <v>3467878.5295486241</v>
      </c>
      <c r="G126" s="4">
        <f>$D$44*(1+Supuestos!$B$9)^(7-1)*(1-Supuestos!$B$12)^(7-1)</f>
        <v>16481978.456951892</v>
      </c>
      <c r="H126" s="4">
        <f>IF(7&lt;=Supuestos!$B$18,$D$42*$D$31*(1+Supuestos!$B$10)^(7-1)*(1-Supuestos!$B$11)^(7-1),0)</f>
        <v>2001825.3736278175</v>
      </c>
      <c r="I126" s="4">
        <f>IF(7&lt;=Supuestos!$B$19,G126*$D$32,0)</f>
        <v>8240989.228475946</v>
      </c>
      <c r="J126" s="9">
        <f t="shared" si="22"/>
        <v>9707042.3843967505</v>
      </c>
      <c r="K126" s="4">
        <f t="shared" si="23"/>
        <v>58980936.06062299</v>
      </c>
      <c r="L126" s="7">
        <f t="shared" si="24"/>
        <v>0.10772502775521131</v>
      </c>
      <c r="M126" s="4">
        <f>IF(7&lt;=Supuestos!$B$18,H126-Supuestos!$B$22*$D$26*(1+Supuestos!$B$9)^(7-1),0)</f>
        <v>1632684.8543049945</v>
      </c>
      <c r="N126" s="4">
        <f>IF(7&lt;=Supuestos!$B$19,I126-Supuestos!$B$23*$D$29*(1+Supuestos!$B$9)^(7-1),0)</f>
        <v>6264453.0678406805</v>
      </c>
      <c r="O126" s="4">
        <f t="shared" si="25"/>
        <v>574969.2756384965</v>
      </c>
      <c r="P126" s="4">
        <f t="shared" si="26"/>
        <v>772918.97304140218</v>
      </c>
    </row>
    <row r="127" spans="1:16" x14ac:dyDescent="0.3">
      <c r="B127" s="18">
        <f>Supuestos!$B$25+8-1</f>
        <v>2033</v>
      </c>
      <c r="C127" s="4">
        <f>$D$39*(1+Supuestos!$B$9)^(8-1)</f>
        <v>129362697.54079027</v>
      </c>
      <c r="D127" s="4">
        <f>IF(B127&lt;=Supuestos!$B$26,$D$38*(1+Supuestos!$B$9)^(8-1),0)</f>
        <v>0</v>
      </c>
      <c r="E127" s="4">
        <f t="shared" si="21"/>
        <v>129362697.54079027</v>
      </c>
      <c r="F127" s="4">
        <f>$D$43*(1+Supuestos!$B$9)^(8-1)*(1-Supuestos!$B$11)^(8-1)</f>
        <v>3657571.4851149344</v>
      </c>
      <c r="G127" s="4">
        <f>$D$44*(1+Supuestos!$B$9)^(8-1)*(1-Supuestos!$B$12)^(8-1)</f>
        <v>17252510.949814398</v>
      </c>
      <c r="H127" s="4">
        <f>IF(8&lt;=Supuestos!$B$18,$D$42*$D$31*(1+Supuestos!$B$10)^(8-1)*(1-Supuestos!$B$11)^(8-1),0)</f>
        <v>2091407.0590976623</v>
      </c>
      <c r="I127" s="4">
        <f>IF(8&lt;=Supuestos!$B$19,G127*$D$32,0)</f>
        <v>8626255.4749071989</v>
      </c>
      <c r="J127" s="9">
        <f t="shared" si="22"/>
        <v>10192419.900924472</v>
      </c>
      <c r="K127" s="4">
        <f t="shared" si="23"/>
        <v>69173355.961547464</v>
      </c>
      <c r="L127" s="7">
        <f t="shared" si="24"/>
        <v>7.8789481780175682E-2</v>
      </c>
      <c r="M127" s="4">
        <f>IF(8&lt;=Supuestos!$B$18,H127-Supuestos!$B$22*$D$26*(1+Supuestos!$B$9)^(8-1),0)</f>
        <v>1700118.1086154701</v>
      </c>
      <c r="N127" s="4">
        <f>IF(8&lt;=Supuestos!$B$19,I127-Supuestos!$B$23*$D$29*(1+Supuestos!$B$9)^(8-1),0)</f>
        <v>6531127.1446338166</v>
      </c>
      <c r="O127" s="4">
        <f t="shared" si="25"/>
        <v>2275087.3842539666</v>
      </c>
      <c r="P127" s="4">
        <f t="shared" si="26"/>
        <v>7304046.1176752187</v>
      </c>
    </row>
    <row r="128" spans="1:16" x14ac:dyDescent="0.3">
      <c r="B128" s="18">
        <f>Supuestos!$B$25+9-1</f>
        <v>2034</v>
      </c>
      <c r="C128" s="4">
        <f>$D$39*(1+Supuestos!$B$9)^(9-1)</f>
        <v>137124459.39323768</v>
      </c>
      <c r="D128" s="4">
        <f>IF(B128&lt;=Supuestos!$B$26,$D$38*(1+Supuestos!$B$9)^(9-1),0)</f>
        <v>0</v>
      </c>
      <c r="E128" s="4">
        <f t="shared" si="21"/>
        <v>137124459.39323768</v>
      </c>
      <c r="F128" s="4">
        <f>$D$43*(1+Supuestos!$B$9)^(9-1)*(1-Supuestos!$B$11)^(9-1)</f>
        <v>3857640.6453507212</v>
      </c>
      <c r="G128" s="4">
        <f>$D$44*(1+Supuestos!$B$9)^(9-1)*(1-Supuestos!$B$12)^(9-1)</f>
        <v>18059065.836718217</v>
      </c>
      <c r="H128" s="4">
        <f>IF(9&lt;=Supuestos!$B$18,$D$42*$D$31*(1+Supuestos!$B$10)^(9-1)*(1-Supuestos!$B$11)^(9-1),0)</f>
        <v>2184997.5249922825</v>
      </c>
      <c r="I128" s="4">
        <f>IF(9&lt;=Supuestos!$B$19,G128*$D$32,0)</f>
        <v>9029532.9183591083</v>
      </c>
      <c r="J128" s="9">
        <f t="shared" si="22"/>
        <v>10702176.038717546</v>
      </c>
      <c r="K128" s="4">
        <f t="shared" si="23"/>
        <v>79875532.000265002</v>
      </c>
      <c r="L128" s="7">
        <f t="shared" si="24"/>
        <v>7.8047170330323476E-2</v>
      </c>
      <c r="M128" s="4">
        <f>IF(9&lt;=Supuestos!$B$18,H128-Supuestos!$B$22*$D$26*(1+Supuestos!$B$9)^(9-1),0)</f>
        <v>1770231.2374811587</v>
      </c>
      <c r="N128" s="4">
        <f>IF(9&lt;=Supuestos!$B$19,I128-Supuestos!$B$23*$D$29*(1+Supuestos!$B$9)^(9-1),0)</f>
        <v>6808696.8882693239</v>
      </c>
      <c r="O128" s="4">
        <f t="shared" si="25"/>
        <v>4045318.6217351253</v>
      </c>
      <c r="P128" s="4">
        <f t="shared" si="26"/>
        <v>14112743.005944543</v>
      </c>
    </row>
    <row r="129" spans="1:16" x14ac:dyDescent="0.3">
      <c r="B129" s="18">
        <f>Supuestos!$B$25+10-1</f>
        <v>2035</v>
      </c>
      <c r="C129" s="4">
        <f>$D$39*(1+Supuestos!$B$9)^(10-1)</f>
        <v>145351926.95683193</v>
      </c>
      <c r="D129" s="4">
        <f>IF(B129&lt;=Supuestos!$B$26,$D$38*(1+Supuestos!$B$9)^(10-1),0)</f>
        <v>0</v>
      </c>
      <c r="E129" s="4">
        <f t="shared" si="21"/>
        <v>145351926.95683193</v>
      </c>
      <c r="F129" s="4">
        <f>$D$43*(1+Supuestos!$B$9)^(10-1)*(1-Supuestos!$B$11)^(10-1)</f>
        <v>4068653.5886514052</v>
      </c>
      <c r="G129" s="4">
        <f>$D$44*(1+Supuestos!$B$9)^(10-1)*(1-Supuestos!$B$12)^(10-1)</f>
        <v>18903327.164584793</v>
      </c>
      <c r="H129" s="4">
        <f>IF(10&lt;=Supuestos!$B$18,$D$42*$D$31*(1+Supuestos!$B$10)^(10-1)*(1-Supuestos!$B$11)^(10-1),0)</f>
        <v>2282776.1642356873</v>
      </c>
      <c r="I129" s="4">
        <f>IF(10&lt;=Supuestos!$B$19,G129*$D$32,0)</f>
        <v>9451663.5822923966</v>
      </c>
      <c r="J129" s="9">
        <f t="shared" si="22"/>
        <v>11237541.006708112</v>
      </c>
      <c r="K129" s="4">
        <f t="shared" si="23"/>
        <v>91113073.006973118</v>
      </c>
      <c r="L129" s="7">
        <f t="shared" si="24"/>
        <v>7.7312638655595872E-2</v>
      </c>
      <c r="M129" s="4">
        <f>IF(10&lt;=Supuestos!$B$18,H129-Supuestos!$B$22*$D$26*(1+Supuestos!$B$9)^(10-1),0)</f>
        <v>1843123.899473896</v>
      </c>
      <c r="N129" s="4">
        <f>IF(10&lt;=Supuestos!$B$19,I129-Supuestos!$B$23*$D$29*(1+Supuestos!$B$9)^(10-1),0)</f>
        <v>7097577.3903972246</v>
      </c>
      <c r="O129" s="4">
        <f t="shared" si="25"/>
        <v>5888442.5212090211</v>
      </c>
      <c r="P129" s="4">
        <f t="shared" si="26"/>
        <v>21210320.396341767</v>
      </c>
    </row>
    <row r="130" spans="1:16" x14ac:dyDescent="0.3">
      <c r="B130" s="18">
        <f>Supuestos!$B$25+11-1</f>
        <v>2036</v>
      </c>
      <c r="C130" s="4">
        <f>$D$39*(1+Supuestos!$B$9)^(11-1)</f>
        <v>154073042.57424188</v>
      </c>
      <c r="D130" s="4">
        <f>IF(B130&lt;=Supuestos!$B$26,$D$38*(1+Supuestos!$B$9)^(11-1),0)</f>
        <v>0</v>
      </c>
      <c r="E130" s="4">
        <f t="shared" si="21"/>
        <v>154073042.57424188</v>
      </c>
      <c r="F130" s="4">
        <f>$D$43*(1+Supuestos!$B$9)^(11-1)*(1-Supuestos!$B$11)^(11-1)</f>
        <v>4291208.9399506375</v>
      </c>
      <c r="G130" s="4">
        <f>$D$44*(1+Supuestos!$B$9)^(11-1)*(1-Supuestos!$B$12)^(11-1)</f>
        <v>19787057.709529139</v>
      </c>
      <c r="H130" s="4">
        <f>IF(11&lt;=Supuestos!$B$18,$D$42*$D$31*(1+Supuestos!$B$10)^(11-1)*(1-Supuestos!$B$11)^(11-1),0)</f>
        <v>2384930.3975852346</v>
      </c>
      <c r="I130" s="4">
        <f>IF(11&lt;=Supuestos!$B$19,G130*$D$32,0)</f>
        <v>9893528.8547645696</v>
      </c>
      <c r="J130" s="9">
        <f t="shared" si="22"/>
        <v>11799807.397129972</v>
      </c>
      <c r="K130" s="4">
        <f t="shared" si="23"/>
        <v>102912880.40410309</v>
      </c>
      <c r="L130" s="7">
        <f t="shared" si="24"/>
        <v>7.6585801123802033E-2</v>
      </c>
      <c r="M130" s="4">
        <f>IF(11&lt;=Supuestos!$B$18,H130-Supuestos!$B$22*$D$26*(1+Supuestos!$B$9)^(11-1),0)</f>
        <v>1918898.9969377359</v>
      </c>
      <c r="N130" s="4">
        <f>IF(11&lt;=Supuestos!$B$19,I130-Supuestos!$B$23*$D$29*(1+Supuestos!$B$9)^(11-1),0)</f>
        <v>7398197.4913556874</v>
      </c>
      <c r="O130" s="4">
        <f t="shared" si="25"/>
        <v>7807341.518146757</v>
      </c>
      <c r="P130" s="4">
        <f t="shared" si="26"/>
        <v>28608517.887697455</v>
      </c>
    </row>
    <row r="131" spans="1:16" x14ac:dyDescent="0.3">
      <c r="B131" s="18">
        <f>Supuestos!$B$25+12-1</f>
        <v>2037</v>
      </c>
      <c r="C131" s="4">
        <f>$D$39*(1+Supuestos!$B$9)^(12-1)</f>
        <v>163317425.12869641</v>
      </c>
      <c r="D131" s="4">
        <f>IF(B131&lt;=Supuestos!$B$26,$D$38*(1+Supuestos!$B$9)^(12-1),0)</f>
        <v>0</v>
      </c>
      <c r="E131" s="4">
        <f t="shared" si="21"/>
        <v>163317425.12869641</v>
      </c>
      <c r="F131" s="4">
        <f>$D$43*(1+Supuestos!$B$9)^(12-1)*(1-Supuestos!$B$11)^(12-1)</f>
        <v>4525938.0689659379</v>
      </c>
      <c r="G131" s="4">
        <f>$D$44*(1+Supuestos!$B$9)^(12-1)*(1-Supuestos!$B$12)^(12-1)</f>
        <v>20712102.657449625</v>
      </c>
      <c r="H131" s="4">
        <f>IF(12&lt;=Supuestos!$B$18,$D$42*$D$31*(1+Supuestos!$B$10)^(12-1)*(1-Supuestos!$B$11)^(12-1),0)</f>
        <v>2491656.0328771737</v>
      </c>
      <c r="I131" s="4">
        <f>IF(12&lt;=Supuestos!$B$19,G131*$D$32,0)</f>
        <v>10356051.328724813</v>
      </c>
      <c r="J131" s="9">
        <f t="shared" si="22"/>
        <v>12390333.364813577</v>
      </c>
      <c r="K131" s="4">
        <f t="shared" si="23"/>
        <v>115303213.76891667</v>
      </c>
      <c r="L131" s="7">
        <f t="shared" si="24"/>
        <v>7.5866573055813374E-2</v>
      </c>
      <c r="M131" s="4">
        <f>IF(12&lt;=Supuestos!$B$18,H131-Supuestos!$B$22*$D$26*(1+Supuestos!$B$9)^(12-1),0)</f>
        <v>1997662.7481908249</v>
      </c>
      <c r="N131" s="4">
        <f>IF(12&lt;=Supuestos!$B$19,I131-Supuestos!$B$23*$D$29*(1+Supuestos!$B$9)^(12-1),0)</f>
        <v>7711000.0835113972</v>
      </c>
      <c r="O131" s="4">
        <f t="shared" si="25"/>
        <v>9805004.266337581</v>
      </c>
      <c r="P131" s="4">
        <f t="shared" si="26"/>
        <v>36319517.971208856</v>
      </c>
    </row>
    <row r="132" spans="1:16" x14ac:dyDescent="0.3">
      <c r="B132" s="18">
        <f>Supuestos!$B$25+13-1</f>
        <v>2038</v>
      </c>
      <c r="C132" s="4">
        <f>$D$39*(1+Supuestos!$B$9)^(13-1)</f>
        <v>173116470.63641819</v>
      </c>
      <c r="D132" s="4">
        <f>IF(B132&lt;=Supuestos!$B$26,$D$38*(1+Supuestos!$B$9)^(13-1),0)</f>
        <v>0</v>
      </c>
      <c r="E132" s="4">
        <f t="shared" si="21"/>
        <v>173116470.63641819</v>
      </c>
      <c r="F132" s="4">
        <f>$D$43*(1+Supuestos!$B$9)^(13-1)*(1-Supuestos!$B$11)^(13-1)</f>
        <v>4773506.8813383756</v>
      </c>
      <c r="G132" s="4">
        <f>$D$44*(1+Supuestos!$B$9)^(13-1)*(1-Supuestos!$B$12)^(13-1)</f>
        <v>21680393.456685401</v>
      </c>
      <c r="H132" s="4">
        <f>IF(13&lt;=Supuestos!$B$18,$D$42*$D$31*(1+Supuestos!$B$10)^(13-1)*(1-Supuestos!$B$11)^(13-1),0)</f>
        <v>2603157.6403484275</v>
      </c>
      <c r="I132" s="4">
        <f>IF(13&lt;=Supuestos!$B$19,G132*$D$32,0)</f>
        <v>10840196.728342701</v>
      </c>
      <c r="J132" s="9">
        <f t="shared" si="22"/>
        <v>13010545.96933265</v>
      </c>
      <c r="K132" s="4">
        <f t="shared" si="23"/>
        <v>128313759.73824932</v>
      </c>
      <c r="L132" s="7">
        <f t="shared" si="24"/>
        <v>7.5154870715089805E-2</v>
      </c>
      <c r="M132" s="4">
        <f>IF(13&lt;=Supuestos!$B$18,H132-Supuestos!$B$22*$D$26*(1+Supuestos!$B$9)^(13-1),0)</f>
        <v>2079524.7585808977</v>
      </c>
      <c r="N132" s="4">
        <f>IF(13&lt;=Supuestos!$B$19,I132-Supuestos!$B$23*$D$29*(1+Supuestos!$B$9)^(13-1),0)</f>
        <v>8036442.4084164798</v>
      </c>
      <c r="O132" s="4">
        <f t="shared" si="25"/>
        <v>11884529.024918478</v>
      </c>
      <c r="P132" s="4">
        <f t="shared" si="26"/>
        <v>44355960.379625335</v>
      </c>
    </row>
    <row r="133" spans="1:16" x14ac:dyDescent="0.3">
      <c r="B133" s="18">
        <f>Supuestos!$B$25+14-1</f>
        <v>2039</v>
      </c>
      <c r="C133" s="4">
        <f>$D$39*(1+Supuestos!$B$9)^(14-1)</f>
        <v>183503458.8746033</v>
      </c>
      <c r="D133" s="4">
        <f>IF(B133&lt;=Supuestos!$B$26,$D$38*(1+Supuestos!$B$9)^(14-1),0)</f>
        <v>0</v>
      </c>
      <c r="E133" s="4">
        <f t="shared" si="21"/>
        <v>183503458.8746033</v>
      </c>
      <c r="F133" s="4">
        <f>$D$43*(1+Supuestos!$B$9)^(14-1)*(1-Supuestos!$B$11)^(14-1)</f>
        <v>5034617.7077475851</v>
      </c>
      <c r="G133" s="4">
        <f>$D$44*(1+Supuestos!$B$9)^(14-1)*(1-Supuestos!$B$12)^(14-1)</f>
        <v>22693951.850785449</v>
      </c>
      <c r="H133" s="4">
        <f>IF(14&lt;=Supuestos!$B$18,$D$42*$D$31*(1+Supuestos!$B$10)^(14-1)*(1-Supuestos!$B$11)^(14-1),0)</f>
        <v>2719648.9447540203</v>
      </c>
      <c r="I133" s="4">
        <f>IF(14&lt;=Supuestos!$B$19,G133*$D$32,0)</f>
        <v>11346975.925392725</v>
      </c>
      <c r="J133" s="9">
        <f t="shared" si="22"/>
        <v>13661944.688386291</v>
      </c>
      <c r="K133" s="4">
        <f t="shared" si="23"/>
        <v>141975704.42663562</v>
      </c>
      <c r="L133" s="7">
        <f t="shared" si="24"/>
        <v>7.4450611297317032E-2</v>
      </c>
      <c r="M133" s="4">
        <f>IF(14&lt;=Supuestos!$B$18,H133-Supuestos!$B$22*$D$26*(1+Supuestos!$B$9)^(14-1),0)</f>
        <v>2164598.0900804386</v>
      </c>
      <c r="N133" s="4">
        <f>IF(14&lt;=Supuestos!$B$19,I133-Supuestos!$B$23*$D$29*(1+Supuestos!$B$9)^(14-1),0)</f>
        <v>8374996.34627093</v>
      </c>
      <c r="O133" s="4">
        <f t="shared" si="25"/>
        <v>14049127.114998916</v>
      </c>
      <c r="P133" s="4">
        <f t="shared" si="26"/>
        <v>52730956.725896269</v>
      </c>
    </row>
    <row r="134" spans="1:16" x14ac:dyDescent="0.3">
      <c r="B134" s="18">
        <f>Supuestos!$B$25+15-1</f>
        <v>2040</v>
      </c>
      <c r="C134" s="4">
        <f>$D$39*(1+Supuestos!$B$9)^(15-1)</f>
        <v>194513666.40707949</v>
      </c>
      <c r="D134" s="4">
        <f>IF(B134&lt;=Supuestos!$B$26,$D$38*(1+Supuestos!$B$9)^(15-1),0)</f>
        <v>0</v>
      </c>
      <c r="E134" s="4">
        <f t="shared" si="21"/>
        <v>194513666.40707949</v>
      </c>
      <c r="F134" s="4">
        <f>$D$43*(1+Supuestos!$B$9)^(15-1)*(1-Supuestos!$B$11)^(15-1)</f>
        <v>5310011.2963613784</v>
      </c>
      <c r="G134" s="4">
        <f>$D$44*(1+Supuestos!$B$9)^(15-1)*(1-Supuestos!$B$12)^(15-1)</f>
        <v>23754894.099809665</v>
      </c>
      <c r="H134" s="4">
        <f>IF(15&lt;=Supuestos!$B$18,$D$42*$D$31*(1+Supuestos!$B$10)^(15-1)*(1-Supuestos!$B$11)^(15-1),0)</f>
        <v>2841353.2350317617</v>
      </c>
      <c r="I134" s="4">
        <f>IF(15&lt;=Supuestos!$B$19,G134*$D$32,0)</f>
        <v>11877447.049904833</v>
      </c>
      <c r="J134" s="9">
        <f t="shared" si="22"/>
        <v>14346105.111234451</v>
      </c>
      <c r="K134" s="4">
        <f t="shared" si="23"/>
        <v>156321809.53787008</v>
      </c>
      <c r="L134" s="7">
        <f t="shared" si="24"/>
        <v>7.3753712920154549E-2</v>
      </c>
      <c r="M134" s="4">
        <f>IF(15&lt;=Supuestos!$B$18,H134-Supuestos!$B$22*$D$26*(1+Supuestos!$B$9)^(15-1),0)</f>
        <v>2252999.3290777653</v>
      </c>
      <c r="N134" s="4">
        <f>IF(15&lt;=Supuestos!$B$19,I134-Supuestos!$B$23*$D$29*(1+Supuestos!$B$9)^(15-1),0)</f>
        <v>8727148.6960357297</v>
      </c>
      <c r="O134" s="4">
        <f t="shared" si="25"/>
        <v>16302126.444076682</v>
      </c>
      <c r="P134" s="4">
        <f t="shared" si="26"/>
        <v>61458105.421931997</v>
      </c>
    </row>
    <row r="135" spans="1:16" x14ac:dyDescent="0.3">
      <c r="B135" s="18">
        <f>Supuestos!$B$25+16-1</f>
        <v>2041</v>
      </c>
      <c r="C135" s="4">
        <f>$D$39*(1+Supuestos!$B$9)^(16-1)</f>
        <v>206184486.39150432</v>
      </c>
      <c r="D135" s="4">
        <f>IF(B135&lt;=Supuestos!$B$26,$D$38*(1+Supuestos!$B$9)^(16-1),0)</f>
        <v>0</v>
      </c>
      <c r="E135" s="4">
        <f t="shared" si="21"/>
        <v>206184486.39150432</v>
      </c>
      <c r="F135" s="4">
        <f>$D$43*(1+Supuestos!$B$9)^(16-1)*(1-Supuestos!$B$11)^(16-1)</f>
        <v>5600468.9142723475</v>
      </c>
      <c r="G135" s="4">
        <f>$D$44*(1+Supuestos!$B$9)^(16-1)*(1-Supuestos!$B$12)^(16-1)</f>
        <v>24865435.398975775</v>
      </c>
      <c r="H135" s="4">
        <f>IF(16&lt;=Supuestos!$B$18,$D$42*$D$31*(1+Supuestos!$B$10)^(16-1)*(1-Supuestos!$B$11)^(16-1),0)</f>
        <v>0</v>
      </c>
      <c r="I135" s="4">
        <f>IF(16&lt;=Supuestos!$B$19,G135*$D$32,0)</f>
        <v>0</v>
      </c>
      <c r="J135" s="9">
        <f t="shared" si="22"/>
        <v>30465904.31324812</v>
      </c>
      <c r="K135" s="4">
        <f t="shared" si="23"/>
        <v>186787713.85111821</v>
      </c>
      <c r="L135" s="7">
        <f t="shared" si="24"/>
        <v>0.14776041033174184</v>
      </c>
      <c r="M135" s="4">
        <f>IF(16&lt;=Supuestos!$B$18,H135-Supuestos!$B$22*$D$26*(1+Supuestos!$B$9)^(16-1),0)</f>
        <v>0</v>
      </c>
      <c r="N135" s="4">
        <f>IF(16&lt;=Supuestos!$B$19,I135-Supuestos!$B$23*$D$29*(1+Supuestos!$B$9)^(16-1),0)</f>
        <v>0</v>
      </c>
      <c r="O135" s="4">
        <f t="shared" si="25"/>
        <v>16302126.444076682</v>
      </c>
      <c r="P135" s="4">
        <f t="shared" si="26"/>
        <v>61458105.421931997</v>
      </c>
    </row>
    <row r="136" spans="1:16" x14ac:dyDescent="0.3">
      <c r="B136" s="18">
        <f>Supuestos!$B$25+17-1</f>
        <v>2042</v>
      </c>
      <c r="C136" s="4">
        <f>$D$39*(1+Supuestos!$B$9)^(17-1)</f>
        <v>218555555.57499453</v>
      </c>
      <c r="D136" s="4">
        <f>IF(B136&lt;=Supuestos!$B$26,$D$38*(1+Supuestos!$B$9)^(17-1),0)</f>
        <v>0</v>
      </c>
      <c r="E136" s="4">
        <f t="shared" si="21"/>
        <v>218555555.57499453</v>
      </c>
      <c r="F136" s="4">
        <f>$D$43*(1+Supuestos!$B$9)^(17-1)*(1-Supuestos!$B$11)^(17-1)</f>
        <v>5906814.5638830429</v>
      </c>
      <c r="G136" s="4">
        <f>$D$44*(1+Supuestos!$B$9)^(17-1)*(1-Supuestos!$B$12)^(17-1)</f>
        <v>26027894.503877886</v>
      </c>
      <c r="H136" s="4">
        <f>IF(17&lt;=Supuestos!$B$18,$D$42*$D$31*(1+Supuestos!$B$10)^(17-1)*(1-Supuestos!$B$11)^(17-1),0)</f>
        <v>0</v>
      </c>
      <c r="I136" s="4">
        <f>IF(17&lt;=Supuestos!$B$19,G136*$D$32,0)</f>
        <v>0</v>
      </c>
      <c r="J136" s="9">
        <f t="shared" si="22"/>
        <v>31934709.067760929</v>
      </c>
      <c r="K136" s="4">
        <f t="shared" si="23"/>
        <v>218722422.91887915</v>
      </c>
      <c r="L136" s="7">
        <f t="shared" si="24"/>
        <v>0.14611712332703866</v>
      </c>
      <c r="M136" s="4">
        <f>IF(17&lt;=Supuestos!$B$18,H136-Supuestos!$B$22*$D$26*(1+Supuestos!$B$9)^(17-1),0)</f>
        <v>0</v>
      </c>
      <c r="N136" s="4">
        <f>IF(17&lt;=Supuestos!$B$19,I136-Supuestos!$B$23*$D$29*(1+Supuestos!$B$9)^(17-1),0)</f>
        <v>0</v>
      </c>
      <c r="O136" s="4">
        <f t="shared" si="25"/>
        <v>16302126.444076682</v>
      </c>
      <c r="P136" s="4">
        <f t="shared" si="26"/>
        <v>61458105.421931997</v>
      </c>
    </row>
    <row r="137" spans="1:16" x14ac:dyDescent="0.3">
      <c r="B137" s="18">
        <f>Supuestos!$B$25+18-1</f>
        <v>2043</v>
      </c>
      <c r="C137" s="4">
        <f>$D$39*(1+Supuestos!$B$9)^(18-1)</f>
        <v>231668888.90949422</v>
      </c>
      <c r="D137" s="4">
        <f>IF(B137&lt;=Supuestos!$B$26,$D$38*(1+Supuestos!$B$9)^(18-1),0)</f>
        <v>0</v>
      </c>
      <c r="E137" s="4">
        <f t="shared" si="21"/>
        <v>231668888.90949422</v>
      </c>
      <c r="F137" s="4">
        <f>$D$43*(1+Supuestos!$B$9)^(18-1)*(1-Supuestos!$B$11)^(18-1)</f>
        <v>6229917.3205274455</v>
      </c>
      <c r="G137" s="4">
        <f>$D$44*(1+Supuestos!$B$9)^(18-1)*(1-Supuestos!$B$12)^(18-1)</f>
        <v>27244698.571934182</v>
      </c>
      <c r="H137" s="4">
        <f>IF(18&lt;=Supuestos!$B$18,$D$42*$D$31*(1+Supuestos!$B$10)^(18-1)*(1-Supuestos!$B$11)^(18-1),0)</f>
        <v>0</v>
      </c>
      <c r="I137" s="4">
        <f>IF(18&lt;=Supuestos!$B$19,G137*$D$32,0)</f>
        <v>0</v>
      </c>
      <c r="J137" s="9">
        <f t="shared" si="22"/>
        <v>33474615.892461628</v>
      </c>
      <c r="K137" s="4">
        <f t="shared" si="23"/>
        <v>252197038.81134078</v>
      </c>
      <c r="L137" s="7">
        <f t="shared" si="24"/>
        <v>0.14449335881927206</v>
      </c>
      <c r="M137" s="4">
        <f>IF(18&lt;=Supuestos!$B$18,H137-Supuestos!$B$22*$D$26*(1+Supuestos!$B$9)^(18-1),0)</f>
        <v>0</v>
      </c>
      <c r="N137" s="4">
        <f>IF(18&lt;=Supuestos!$B$19,I137-Supuestos!$B$23*$D$29*(1+Supuestos!$B$9)^(18-1),0)</f>
        <v>0</v>
      </c>
      <c r="O137" s="4">
        <f t="shared" si="25"/>
        <v>16302126.444076682</v>
      </c>
      <c r="P137" s="4">
        <f t="shared" si="26"/>
        <v>61458105.421931997</v>
      </c>
    </row>
    <row r="138" spans="1:16" x14ac:dyDescent="0.3">
      <c r="B138" s="18">
        <f>Supuestos!$B$25+19-1</f>
        <v>2044</v>
      </c>
      <c r="C138" s="4">
        <f>$D$39*(1+Supuestos!$B$9)^(19-1)</f>
        <v>245569022.24406388</v>
      </c>
      <c r="D138" s="4">
        <f>IF(B138&lt;=Supuestos!$B$26,$D$38*(1+Supuestos!$B$9)^(19-1),0)</f>
        <v>0</v>
      </c>
      <c r="E138" s="4">
        <f t="shared" si="21"/>
        <v>245569022.24406388</v>
      </c>
      <c r="F138" s="4">
        <f>$D$43*(1+Supuestos!$B$9)^(19-1)*(1-Supuestos!$B$11)^(19-1)</f>
        <v>6570693.7979602972</v>
      </c>
      <c r="G138" s="4">
        <f>$D$44*(1+Supuestos!$B$9)^(19-1)*(1-Supuestos!$B$12)^(19-1)</f>
        <v>28518388.230172101</v>
      </c>
      <c r="H138" s="4">
        <f>IF(19&lt;=Supuestos!$B$18,$D$42*$D$31*(1+Supuestos!$B$10)^(19-1)*(1-Supuestos!$B$11)^(19-1),0)</f>
        <v>0</v>
      </c>
      <c r="I138" s="4">
        <f>IF(19&lt;=Supuestos!$B$19,G138*$D$32,0)</f>
        <v>0</v>
      </c>
      <c r="J138" s="9">
        <f t="shared" si="22"/>
        <v>35089082.028132401</v>
      </c>
      <c r="K138" s="4">
        <f t="shared" si="23"/>
        <v>287286120.83947319</v>
      </c>
      <c r="L138" s="7">
        <f t="shared" si="24"/>
        <v>0.14288887787018342</v>
      </c>
      <c r="M138" s="4">
        <f>IF(19&lt;=Supuestos!$B$18,H138-Supuestos!$B$22*$D$26*(1+Supuestos!$B$9)^(19-1),0)</f>
        <v>0</v>
      </c>
      <c r="N138" s="4">
        <f>IF(19&lt;=Supuestos!$B$19,I138-Supuestos!$B$23*$D$29*(1+Supuestos!$B$9)^(19-1),0)</f>
        <v>0</v>
      </c>
      <c r="O138" s="4">
        <f t="shared" si="25"/>
        <v>16302126.444076682</v>
      </c>
      <c r="P138" s="4">
        <f t="shared" si="26"/>
        <v>61458105.421931997</v>
      </c>
    </row>
    <row r="139" spans="1:16" x14ac:dyDescent="0.3">
      <c r="B139" s="18">
        <f>Supuestos!$B$25+20-1</f>
        <v>2045</v>
      </c>
      <c r="C139" s="4">
        <f>$D$39*(1+Supuestos!$B$9)^(20-1)</f>
        <v>260303163.57870775</v>
      </c>
      <c r="D139" s="4">
        <f>IF(B139&lt;=Supuestos!$B$26,$D$38*(1+Supuestos!$B$9)^(20-1),0)</f>
        <v>0</v>
      </c>
      <c r="E139" s="4">
        <f t="shared" si="21"/>
        <v>260303163.57870775</v>
      </c>
      <c r="F139" s="4">
        <f>$D$43*(1+Supuestos!$B$9)^(20-1)*(1-Supuestos!$B$11)^(20-1)</f>
        <v>6930110.7487087268</v>
      </c>
      <c r="G139" s="4">
        <f>$D$44*(1+Supuestos!$B$9)^(20-1)*(1-Supuestos!$B$12)^(20-1)</f>
        <v>29851622.879932657</v>
      </c>
      <c r="H139" s="4">
        <f>IF(20&lt;=Supuestos!$B$18,$D$42*$D$31*(1+Supuestos!$B$10)^(20-1)*(1-Supuestos!$B$11)^(20-1),0)</f>
        <v>0</v>
      </c>
      <c r="I139" s="4">
        <f>IF(20&lt;=Supuestos!$B$19,G139*$D$32,0)</f>
        <v>0</v>
      </c>
      <c r="J139" s="9">
        <f t="shared" si="22"/>
        <v>36781733.628641382</v>
      </c>
      <c r="K139" s="4">
        <f t="shared" si="23"/>
        <v>324067854.46811455</v>
      </c>
      <c r="L139" s="7">
        <f t="shared" si="24"/>
        <v>0.14130344450277765</v>
      </c>
      <c r="M139" s="4">
        <f>IF(20&lt;=Supuestos!$B$18,H139-Supuestos!$B$22*$D$26*(1+Supuestos!$B$9)^(20-1),0)</f>
        <v>0</v>
      </c>
      <c r="N139" s="4">
        <f>IF(20&lt;=Supuestos!$B$19,I139-Supuestos!$B$23*$D$29*(1+Supuestos!$B$9)^(20-1),0)</f>
        <v>0</v>
      </c>
      <c r="O139" s="4">
        <f t="shared" si="25"/>
        <v>16302126.444076682</v>
      </c>
      <c r="P139" s="4">
        <f t="shared" si="26"/>
        <v>61458105.421931997</v>
      </c>
    </row>
    <row r="143" spans="1:16" x14ac:dyDescent="0.3">
      <c r="A143" s="1" t="s">
        <v>186</v>
      </c>
    </row>
    <row r="145" spans="1:8" x14ac:dyDescent="0.3">
      <c r="B145" s="17" t="s">
        <v>187</v>
      </c>
      <c r="C145" s="17" t="s">
        <v>188</v>
      </c>
      <c r="D145" s="17" t="s">
        <v>189</v>
      </c>
      <c r="E145" s="17" t="s">
        <v>190</v>
      </c>
      <c r="F145" s="17" t="s">
        <v>191</v>
      </c>
      <c r="G145" s="17" t="s">
        <v>192</v>
      </c>
    </row>
    <row r="146" spans="1:8" x14ac:dyDescent="0.3">
      <c r="A146" t="s">
        <v>193</v>
      </c>
      <c r="B146">
        <v>0</v>
      </c>
      <c r="C146" s="4">
        <f>$N$19-C43</f>
        <v>59754992.704186663</v>
      </c>
      <c r="D146" s="4">
        <f>C146-C147</f>
        <v>55986382.880973324</v>
      </c>
      <c r="E146" s="4">
        <f>D146-D147</f>
        <v>43456369.788814329</v>
      </c>
      <c r="F146" s="4">
        <f>E146</f>
        <v>43456369.788814329</v>
      </c>
      <c r="G146" s="4">
        <v>0</v>
      </c>
    </row>
    <row r="147" spans="1:8" x14ac:dyDescent="0.3">
      <c r="A147" t="s">
        <v>194</v>
      </c>
      <c r="B147" s="4">
        <f>$N$19</f>
        <v>63523602.527400002</v>
      </c>
      <c r="C147" s="4">
        <f>C43</f>
        <v>3768609.8232133416</v>
      </c>
      <c r="D147" s="4">
        <f>C44</f>
        <v>12530013.092158996</v>
      </c>
      <c r="E147" s="4">
        <f>C46</f>
        <v>2302729.7489663791</v>
      </c>
      <c r="F147" s="4">
        <f>C47</f>
        <v>6265006.5460794978</v>
      </c>
      <c r="G147" s="4">
        <f>B147+C147+D147-E147-F147</f>
        <v>71254489.147726446</v>
      </c>
    </row>
    <row r="150" spans="1:8" x14ac:dyDescent="0.3">
      <c r="A150" s="1" t="s">
        <v>208</v>
      </c>
    </row>
    <row r="151" spans="1:8" x14ac:dyDescent="0.3">
      <c r="A151" s="2" t="s">
        <v>195</v>
      </c>
      <c r="B151" s="2" t="s">
        <v>196</v>
      </c>
      <c r="C151" s="2" t="s">
        <v>197</v>
      </c>
      <c r="D151" s="2" t="s">
        <v>198</v>
      </c>
      <c r="E151" s="2" t="s">
        <v>199</v>
      </c>
      <c r="F151" s="2" t="s">
        <v>200</v>
      </c>
      <c r="G151" s="2" t="s">
        <v>201</v>
      </c>
      <c r="H151" s="2" t="s">
        <v>202</v>
      </c>
    </row>
    <row r="152" spans="1:8" x14ac:dyDescent="0.3">
      <c r="A152" s="18">
        <v>0</v>
      </c>
      <c r="B152" t="s">
        <v>203</v>
      </c>
      <c r="C152" s="4">
        <v>2809.3</v>
      </c>
      <c r="D152" s="4">
        <v>0</v>
      </c>
      <c r="E152" s="4">
        <f t="shared" ref="E152:E175" si="27">C152-D152</f>
        <v>2809.3</v>
      </c>
      <c r="F152" s="4">
        <v>-1264.0999999999999</v>
      </c>
      <c r="G152" s="4">
        <v>0</v>
      </c>
      <c r="H152" s="4">
        <f t="shared" ref="H152:H175" si="28">E152-F152-G152</f>
        <v>4073.4</v>
      </c>
    </row>
    <row r="153" spans="1:8" x14ac:dyDescent="0.3">
      <c r="A153" s="18">
        <v>1</v>
      </c>
      <c r="B153" t="s">
        <v>203</v>
      </c>
      <c r="C153" s="4">
        <v>2809.3</v>
      </c>
      <c r="D153" s="4">
        <v>0</v>
      </c>
      <c r="E153" s="4">
        <f t="shared" si="27"/>
        <v>2809.3</v>
      </c>
      <c r="F153" s="4">
        <v>-1264.0999999999999</v>
      </c>
      <c r="G153" s="4">
        <v>0</v>
      </c>
      <c r="H153" s="4">
        <f t="shared" si="28"/>
        <v>4073.4</v>
      </c>
    </row>
    <row r="154" spans="1:8" x14ac:dyDescent="0.3">
      <c r="A154" s="18">
        <v>2</v>
      </c>
      <c r="B154" t="s">
        <v>203</v>
      </c>
      <c r="C154" s="4">
        <v>2809.3</v>
      </c>
      <c r="D154" s="4">
        <v>0</v>
      </c>
      <c r="E154" s="4">
        <f t="shared" si="27"/>
        <v>2809.3</v>
      </c>
      <c r="F154" s="4">
        <v>-1264.0999999999999</v>
      </c>
      <c r="G154" s="4">
        <v>0</v>
      </c>
      <c r="H154" s="4">
        <f t="shared" si="28"/>
        <v>4073.4</v>
      </c>
    </row>
    <row r="155" spans="1:8" x14ac:dyDescent="0.3">
      <c r="A155" s="18">
        <v>3</v>
      </c>
      <c r="B155" t="s">
        <v>203</v>
      </c>
      <c r="C155" s="4">
        <v>2842.4</v>
      </c>
      <c r="D155" s="4">
        <v>0</v>
      </c>
      <c r="E155" s="4">
        <f t="shared" si="27"/>
        <v>2842.4</v>
      </c>
      <c r="F155" s="4">
        <v>-1264.0999999999999</v>
      </c>
      <c r="G155" s="4">
        <v>0</v>
      </c>
      <c r="H155" s="4">
        <f t="shared" si="28"/>
        <v>4106.5</v>
      </c>
    </row>
    <row r="156" spans="1:8" x14ac:dyDescent="0.3">
      <c r="A156" s="18">
        <v>4</v>
      </c>
      <c r="B156" t="s">
        <v>203</v>
      </c>
      <c r="C156" s="4">
        <v>2908.5</v>
      </c>
      <c r="D156" s="4">
        <v>0</v>
      </c>
      <c r="E156" s="4">
        <f t="shared" si="27"/>
        <v>2908.5</v>
      </c>
      <c r="F156" s="4">
        <v>-1264.0999999999999</v>
      </c>
      <c r="G156" s="4">
        <v>0</v>
      </c>
      <c r="H156" s="4">
        <f t="shared" si="28"/>
        <v>4172.6000000000004</v>
      </c>
    </row>
    <row r="157" spans="1:8" x14ac:dyDescent="0.3">
      <c r="A157" s="18">
        <v>5</v>
      </c>
      <c r="B157" t="s">
        <v>203</v>
      </c>
      <c r="C157" s="4">
        <v>3040.7</v>
      </c>
      <c r="D157" s="4">
        <v>0</v>
      </c>
      <c r="E157" s="4">
        <f t="shared" si="27"/>
        <v>3040.7</v>
      </c>
      <c r="F157" s="4">
        <v>-1264.0999999999999</v>
      </c>
      <c r="G157" s="4">
        <v>0</v>
      </c>
      <c r="H157" s="4">
        <f t="shared" si="28"/>
        <v>4304.7999999999993</v>
      </c>
    </row>
    <row r="158" spans="1:8" x14ac:dyDescent="0.3">
      <c r="A158" s="18">
        <v>6</v>
      </c>
      <c r="B158" t="s">
        <v>204</v>
      </c>
      <c r="C158" s="4">
        <v>3239</v>
      </c>
      <c r="D158" s="4">
        <v>0</v>
      </c>
      <c r="E158" s="4">
        <f t="shared" si="27"/>
        <v>3239</v>
      </c>
      <c r="F158" s="4">
        <v>0</v>
      </c>
      <c r="G158" s="4">
        <v>0</v>
      </c>
      <c r="H158" s="4">
        <f t="shared" si="28"/>
        <v>3239</v>
      </c>
    </row>
    <row r="159" spans="1:8" x14ac:dyDescent="0.3">
      <c r="A159" s="18">
        <v>7</v>
      </c>
      <c r="B159" t="s">
        <v>204</v>
      </c>
      <c r="C159" s="4">
        <v>3470.4</v>
      </c>
      <c r="D159" s="4">
        <v>178.5</v>
      </c>
      <c r="E159" s="4">
        <f t="shared" si="27"/>
        <v>3291.9</v>
      </c>
      <c r="F159" s="4">
        <v>0</v>
      </c>
      <c r="G159" s="4">
        <v>0</v>
      </c>
      <c r="H159" s="4">
        <f t="shared" si="28"/>
        <v>3291.9</v>
      </c>
    </row>
    <row r="160" spans="1:8" x14ac:dyDescent="0.3">
      <c r="A160" s="18">
        <v>8</v>
      </c>
      <c r="B160" t="s">
        <v>204</v>
      </c>
      <c r="C160" s="4">
        <v>3701.7</v>
      </c>
      <c r="D160" s="4">
        <v>345.8</v>
      </c>
      <c r="E160" s="4">
        <f t="shared" si="27"/>
        <v>3355.8999999999996</v>
      </c>
      <c r="F160" s="4">
        <v>0</v>
      </c>
      <c r="G160" s="4">
        <v>0</v>
      </c>
      <c r="H160" s="4">
        <f t="shared" si="28"/>
        <v>3355.8999999999996</v>
      </c>
    </row>
    <row r="161" spans="1:8" x14ac:dyDescent="0.3">
      <c r="A161" s="18">
        <v>9</v>
      </c>
      <c r="B161" t="s">
        <v>204</v>
      </c>
      <c r="C161" s="4">
        <v>3800.9</v>
      </c>
      <c r="D161" s="4">
        <v>491.3</v>
      </c>
      <c r="E161" s="4">
        <f t="shared" si="27"/>
        <v>3309.6</v>
      </c>
      <c r="F161" s="4">
        <v>0</v>
      </c>
      <c r="G161" s="4">
        <v>0</v>
      </c>
      <c r="H161" s="4">
        <f t="shared" si="28"/>
        <v>3309.6</v>
      </c>
    </row>
    <row r="162" spans="1:8" x14ac:dyDescent="0.3">
      <c r="A162" s="18">
        <v>10</v>
      </c>
      <c r="B162" t="s">
        <v>204</v>
      </c>
      <c r="C162" s="4">
        <v>3833.9</v>
      </c>
      <c r="D162" s="4">
        <v>606</v>
      </c>
      <c r="E162" s="4">
        <f t="shared" si="27"/>
        <v>3227.9</v>
      </c>
      <c r="F162" s="4">
        <v>0</v>
      </c>
      <c r="G162" s="4">
        <v>0</v>
      </c>
      <c r="H162" s="4">
        <f t="shared" si="28"/>
        <v>3227.9</v>
      </c>
    </row>
    <row r="163" spans="1:8" x14ac:dyDescent="0.3">
      <c r="A163" s="18">
        <v>11</v>
      </c>
      <c r="B163" t="s">
        <v>204</v>
      </c>
      <c r="C163" s="4">
        <v>3833.9</v>
      </c>
      <c r="D163" s="4">
        <v>682.6</v>
      </c>
      <c r="E163" s="4">
        <f t="shared" si="27"/>
        <v>3151.3</v>
      </c>
      <c r="F163" s="4">
        <v>0</v>
      </c>
      <c r="G163" s="4">
        <v>0</v>
      </c>
      <c r="H163" s="4">
        <f t="shared" si="28"/>
        <v>3151.3</v>
      </c>
    </row>
    <row r="164" spans="1:8" x14ac:dyDescent="0.3">
      <c r="A164" s="18">
        <v>12</v>
      </c>
      <c r="B164" t="s">
        <v>204</v>
      </c>
      <c r="C164" s="4">
        <v>3833.9</v>
      </c>
      <c r="D164" s="4">
        <v>716.3</v>
      </c>
      <c r="E164" s="4">
        <f t="shared" si="27"/>
        <v>3117.6000000000004</v>
      </c>
      <c r="F164" s="4">
        <v>0</v>
      </c>
      <c r="G164" s="4">
        <v>0</v>
      </c>
      <c r="H164" s="4">
        <f t="shared" si="28"/>
        <v>3117.6000000000004</v>
      </c>
    </row>
    <row r="165" spans="1:8" x14ac:dyDescent="0.3">
      <c r="A165" s="18">
        <v>13</v>
      </c>
      <c r="B165" t="s">
        <v>204</v>
      </c>
      <c r="C165" s="4">
        <v>3800.9</v>
      </c>
      <c r="D165" s="4">
        <v>705</v>
      </c>
      <c r="E165" s="4">
        <f t="shared" si="27"/>
        <v>3095.9</v>
      </c>
      <c r="F165" s="4">
        <v>0</v>
      </c>
      <c r="G165" s="4">
        <v>0</v>
      </c>
      <c r="H165" s="4">
        <f t="shared" si="28"/>
        <v>3095.9</v>
      </c>
    </row>
    <row r="166" spans="1:8" x14ac:dyDescent="0.3">
      <c r="A166" s="18">
        <v>14</v>
      </c>
      <c r="B166" t="s">
        <v>204</v>
      </c>
      <c r="C166" s="4">
        <v>3767.8</v>
      </c>
      <c r="D166" s="4">
        <v>649.4</v>
      </c>
      <c r="E166" s="4">
        <f t="shared" si="27"/>
        <v>3118.4</v>
      </c>
      <c r="F166" s="4">
        <v>0</v>
      </c>
      <c r="G166" s="4">
        <v>0</v>
      </c>
      <c r="H166" s="4">
        <f t="shared" si="28"/>
        <v>3118.4</v>
      </c>
    </row>
    <row r="167" spans="1:8" x14ac:dyDescent="0.3">
      <c r="A167" s="18">
        <v>15</v>
      </c>
      <c r="B167" t="s">
        <v>204</v>
      </c>
      <c r="C167" s="4">
        <v>3734.8</v>
      </c>
      <c r="D167" s="4">
        <v>553</v>
      </c>
      <c r="E167" s="4">
        <f t="shared" si="27"/>
        <v>3181.8</v>
      </c>
      <c r="F167" s="4">
        <v>0</v>
      </c>
      <c r="G167" s="4">
        <v>0</v>
      </c>
      <c r="H167" s="4">
        <f t="shared" si="28"/>
        <v>3181.8</v>
      </c>
    </row>
    <row r="168" spans="1:8" x14ac:dyDescent="0.3">
      <c r="A168" s="18">
        <v>16</v>
      </c>
      <c r="B168" t="s">
        <v>204</v>
      </c>
      <c r="C168" s="4">
        <v>3701.7</v>
      </c>
      <c r="D168" s="4">
        <v>421.9</v>
      </c>
      <c r="E168" s="4">
        <f t="shared" si="27"/>
        <v>3279.7999999999997</v>
      </c>
      <c r="F168" s="4">
        <v>0</v>
      </c>
      <c r="G168" s="4">
        <v>0</v>
      </c>
      <c r="H168" s="4">
        <f t="shared" si="28"/>
        <v>3279.7999999999997</v>
      </c>
    </row>
    <row r="169" spans="1:8" x14ac:dyDescent="0.3">
      <c r="A169" s="18">
        <v>17</v>
      </c>
      <c r="B169" t="s">
        <v>204</v>
      </c>
      <c r="C169" s="4">
        <v>3635.6</v>
      </c>
      <c r="D169" s="4">
        <v>264.2</v>
      </c>
      <c r="E169" s="4">
        <f t="shared" si="27"/>
        <v>3371.4</v>
      </c>
      <c r="F169" s="4">
        <v>0</v>
      </c>
      <c r="G169" s="4">
        <v>0</v>
      </c>
      <c r="H169" s="4">
        <f t="shared" si="28"/>
        <v>3371.4</v>
      </c>
    </row>
    <row r="170" spans="1:8" x14ac:dyDescent="0.3">
      <c r="A170" s="18">
        <v>18</v>
      </c>
      <c r="B170" t="s">
        <v>205</v>
      </c>
      <c r="C170" s="4">
        <v>3701.7</v>
      </c>
      <c r="D170" s="4">
        <v>90</v>
      </c>
      <c r="E170" s="4">
        <f t="shared" si="27"/>
        <v>3611.7</v>
      </c>
      <c r="F170" s="4">
        <v>0</v>
      </c>
      <c r="G170" s="4">
        <f>MIN($C$28,MAX(0,E170-$E$180))</f>
        <v>1794.1040094929194</v>
      </c>
      <c r="H170" s="4">
        <f t="shared" si="28"/>
        <v>1817.5959905070804</v>
      </c>
    </row>
    <row r="171" spans="1:8" x14ac:dyDescent="0.3">
      <c r="A171" s="18">
        <v>19</v>
      </c>
      <c r="B171" t="s">
        <v>205</v>
      </c>
      <c r="C171" s="4">
        <v>3767.8</v>
      </c>
      <c r="D171" s="4">
        <v>0</v>
      </c>
      <c r="E171" s="4">
        <f t="shared" si="27"/>
        <v>3767.8</v>
      </c>
      <c r="F171" s="4">
        <v>0</v>
      </c>
      <c r="G171" s="4">
        <f>MIN($C$28,MAX(0,E171-$E$180))</f>
        <v>1950.2040094929198</v>
      </c>
      <c r="H171" s="4">
        <f t="shared" si="28"/>
        <v>1817.5959905070804</v>
      </c>
    </row>
    <row r="172" spans="1:8" x14ac:dyDescent="0.3">
      <c r="A172" s="18">
        <v>20</v>
      </c>
      <c r="B172" t="s">
        <v>205</v>
      </c>
      <c r="C172" s="4">
        <v>3701.7</v>
      </c>
      <c r="D172" s="4">
        <v>0</v>
      </c>
      <c r="E172" s="4">
        <f t="shared" si="27"/>
        <v>3701.7</v>
      </c>
      <c r="F172" s="4">
        <v>0</v>
      </c>
      <c r="G172" s="4">
        <f>MIN($C$28,MAX(0,E172-$E$180))</f>
        <v>1884.1040094929194</v>
      </c>
      <c r="H172" s="4">
        <f t="shared" si="28"/>
        <v>1817.5959905070804</v>
      </c>
    </row>
    <row r="173" spans="1:8" x14ac:dyDescent="0.3">
      <c r="A173" s="18">
        <v>21</v>
      </c>
      <c r="B173" t="s">
        <v>205</v>
      </c>
      <c r="C173" s="4">
        <v>3470.4</v>
      </c>
      <c r="D173" s="4">
        <v>0</v>
      </c>
      <c r="E173" s="4">
        <f t="shared" si="27"/>
        <v>3470.4</v>
      </c>
      <c r="F173" s="4">
        <v>0</v>
      </c>
      <c r="G173" s="4">
        <f>MIN($C$28,MAX(0,E173-$E$180))</f>
        <v>1652.8040094929197</v>
      </c>
      <c r="H173" s="4">
        <f t="shared" si="28"/>
        <v>1817.5959905070804</v>
      </c>
    </row>
    <row r="174" spans="1:8" x14ac:dyDescent="0.3">
      <c r="A174" s="18">
        <v>22</v>
      </c>
      <c r="B174" t="s">
        <v>204</v>
      </c>
      <c r="C174" s="4">
        <v>3139.9</v>
      </c>
      <c r="D174" s="4">
        <v>0</v>
      </c>
      <c r="E174" s="4">
        <f t="shared" si="27"/>
        <v>3139.9</v>
      </c>
      <c r="F174" s="4">
        <v>0</v>
      </c>
      <c r="G174" s="4">
        <v>0</v>
      </c>
      <c r="H174" s="4">
        <f t="shared" si="28"/>
        <v>3139.9</v>
      </c>
    </row>
    <row r="175" spans="1:8" x14ac:dyDescent="0.3">
      <c r="A175" s="18">
        <v>23</v>
      </c>
      <c r="B175" t="s">
        <v>204</v>
      </c>
      <c r="C175" s="4">
        <v>2908.5</v>
      </c>
      <c r="D175" s="4">
        <v>0</v>
      </c>
      <c r="E175" s="4">
        <f t="shared" si="27"/>
        <v>2908.5</v>
      </c>
      <c r="F175" s="4">
        <v>0</v>
      </c>
      <c r="G175" s="4">
        <v>0</v>
      </c>
      <c r="H175" s="4">
        <f t="shared" si="28"/>
        <v>2908.5</v>
      </c>
    </row>
    <row r="177" spans="1:8" x14ac:dyDescent="0.3">
      <c r="A177" s="27" t="s">
        <v>209</v>
      </c>
    </row>
    <row r="178" spans="1:8" x14ac:dyDescent="0.3">
      <c r="A178" t="s">
        <v>210</v>
      </c>
      <c r="E178" s="21">
        <f>MAX(E170:E173)</f>
        <v>3767.8</v>
      </c>
    </row>
    <row r="179" spans="1:8" x14ac:dyDescent="0.3">
      <c r="A179" t="s">
        <v>211</v>
      </c>
      <c r="E179" s="21">
        <f>$C$30</f>
        <v>7281.2160379716788</v>
      </c>
    </row>
    <row r="180" spans="1:8" x14ac:dyDescent="0.3">
      <c r="A180" t="s">
        <v>212</v>
      </c>
      <c r="E180" s="21">
        <f>MAX(0,(SUM(E170:E173)-MIN($C$30,SUM(E170:E173)))/4)</f>
        <v>1817.5959905070804</v>
      </c>
    </row>
    <row r="181" spans="1:8" x14ac:dyDescent="0.3">
      <c r="A181" t="s">
        <v>213</v>
      </c>
      <c r="E181" s="21">
        <f>MAX(H170:H173)</f>
        <v>1817.5959905070804</v>
      </c>
    </row>
    <row r="182" spans="1:8" x14ac:dyDescent="0.3">
      <c r="A182" s="27" t="s">
        <v>214</v>
      </c>
      <c r="E182" s="29">
        <f>E178-E181</f>
        <v>1950.2040094929198</v>
      </c>
    </row>
    <row r="183" spans="1:8" x14ac:dyDescent="0.3">
      <c r="A183" t="s">
        <v>215</v>
      </c>
      <c r="E183" s="4">
        <f>E182*AVERAGE(B17:M17)</f>
        <v>831974.90731976659</v>
      </c>
    </row>
    <row r="184" spans="1:8" x14ac:dyDescent="0.3">
      <c r="A184" s="28" t="s">
        <v>216</v>
      </c>
    </row>
    <row r="186" spans="1:8" x14ac:dyDescent="0.3">
      <c r="A186" s="27" t="s">
        <v>217</v>
      </c>
    </row>
    <row r="187" spans="1:8" x14ac:dyDescent="0.3">
      <c r="A187" s="27" t="s">
        <v>195</v>
      </c>
      <c r="B187" s="27" t="s">
        <v>196</v>
      </c>
      <c r="C187" s="27" t="s">
        <v>197</v>
      </c>
      <c r="D187" s="27" t="s">
        <v>198</v>
      </c>
      <c r="E187" s="27" t="s">
        <v>199</v>
      </c>
      <c r="F187" s="27" t="s">
        <v>200</v>
      </c>
      <c r="G187" s="27" t="s">
        <v>201</v>
      </c>
      <c r="H187" s="27" t="s">
        <v>202</v>
      </c>
    </row>
    <row r="188" spans="1:8" x14ac:dyDescent="0.3">
      <c r="A188">
        <v>0</v>
      </c>
      <c r="B188" t="s">
        <v>203</v>
      </c>
      <c r="C188">
        <v>2809.3</v>
      </c>
      <c r="D188">
        <v>0</v>
      </c>
      <c r="E188">
        <f t="shared" ref="E188:E211" si="29">C188-D188</f>
        <v>2809.3</v>
      </c>
      <c r="F188">
        <v>-1264.0999999999999</v>
      </c>
      <c r="G188">
        <v>0</v>
      </c>
      <c r="H188">
        <f t="shared" ref="H188:H211" si="30">E188-F188-G188</f>
        <v>4073.4</v>
      </c>
    </row>
    <row r="189" spans="1:8" x14ac:dyDescent="0.3">
      <c r="A189">
        <v>1</v>
      </c>
      <c r="B189" t="s">
        <v>203</v>
      </c>
      <c r="C189">
        <v>2809.3</v>
      </c>
      <c r="D189">
        <v>0</v>
      </c>
      <c r="E189">
        <f t="shared" si="29"/>
        <v>2809.3</v>
      </c>
      <c r="F189">
        <v>-1264.0999999999999</v>
      </c>
      <c r="G189">
        <v>0</v>
      </c>
      <c r="H189">
        <f t="shared" si="30"/>
        <v>4073.4</v>
      </c>
    </row>
    <row r="190" spans="1:8" x14ac:dyDescent="0.3">
      <c r="A190">
        <v>2</v>
      </c>
      <c r="B190" t="s">
        <v>203</v>
      </c>
      <c r="C190">
        <v>2809.3</v>
      </c>
      <c r="D190">
        <v>0</v>
      </c>
      <c r="E190">
        <f t="shared" si="29"/>
        <v>2809.3</v>
      </c>
      <c r="F190">
        <v>-1264.0999999999999</v>
      </c>
      <c r="G190">
        <v>0</v>
      </c>
      <c r="H190">
        <f t="shared" si="30"/>
        <v>4073.4</v>
      </c>
    </row>
    <row r="191" spans="1:8" x14ac:dyDescent="0.3">
      <c r="A191">
        <v>3</v>
      </c>
      <c r="B191" t="s">
        <v>203</v>
      </c>
      <c r="C191">
        <v>2842.4</v>
      </c>
      <c r="D191">
        <v>0</v>
      </c>
      <c r="E191">
        <f t="shared" si="29"/>
        <v>2842.4</v>
      </c>
      <c r="F191">
        <v>-1264.0999999999999</v>
      </c>
      <c r="G191">
        <v>0</v>
      </c>
      <c r="H191">
        <f t="shared" si="30"/>
        <v>4106.5</v>
      </c>
    </row>
    <row r="192" spans="1:8" x14ac:dyDescent="0.3">
      <c r="A192">
        <v>4</v>
      </c>
      <c r="B192" t="s">
        <v>203</v>
      </c>
      <c r="C192">
        <v>2908.5</v>
      </c>
      <c r="D192">
        <v>0</v>
      </c>
      <c r="E192">
        <f t="shared" si="29"/>
        <v>2908.5</v>
      </c>
      <c r="F192">
        <v>-1264.0999999999999</v>
      </c>
      <c r="G192">
        <v>0</v>
      </c>
      <c r="H192">
        <f t="shared" si="30"/>
        <v>4172.6000000000004</v>
      </c>
    </row>
    <row r="193" spans="1:8" x14ac:dyDescent="0.3">
      <c r="A193">
        <v>5</v>
      </c>
      <c r="B193" t="s">
        <v>203</v>
      </c>
      <c r="C193">
        <v>3040.7</v>
      </c>
      <c r="D193">
        <v>0</v>
      </c>
      <c r="E193">
        <f t="shared" si="29"/>
        <v>3040.7</v>
      </c>
      <c r="F193">
        <v>-1264.0999999999999</v>
      </c>
      <c r="G193">
        <v>0</v>
      </c>
      <c r="H193">
        <f t="shared" si="30"/>
        <v>4304.7999999999993</v>
      </c>
    </row>
    <row r="194" spans="1:8" x14ac:dyDescent="0.3">
      <c r="A194">
        <v>6</v>
      </c>
      <c r="B194" t="s">
        <v>204</v>
      </c>
      <c r="C194">
        <v>3239</v>
      </c>
      <c r="D194">
        <v>0</v>
      </c>
      <c r="E194">
        <f t="shared" si="29"/>
        <v>3239</v>
      </c>
      <c r="F194">
        <v>0</v>
      </c>
      <c r="G194">
        <v>0</v>
      </c>
      <c r="H194">
        <f t="shared" si="30"/>
        <v>3239</v>
      </c>
    </row>
    <row r="195" spans="1:8" x14ac:dyDescent="0.3">
      <c r="A195">
        <v>7</v>
      </c>
      <c r="B195" t="s">
        <v>204</v>
      </c>
      <c r="C195">
        <v>3470.4</v>
      </c>
      <c r="D195">
        <v>178.5</v>
      </c>
      <c r="E195">
        <f t="shared" si="29"/>
        <v>3291.9</v>
      </c>
      <c r="F195">
        <v>0</v>
      </c>
      <c r="G195">
        <v>0</v>
      </c>
      <c r="H195">
        <f t="shared" si="30"/>
        <v>3291.9</v>
      </c>
    </row>
    <row r="196" spans="1:8" x14ac:dyDescent="0.3">
      <c r="A196">
        <v>8</v>
      </c>
      <c r="B196" t="s">
        <v>204</v>
      </c>
      <c r="C196">
        <v>3701.7</v>
      </c>
      <c r="D196">
        <v>345.8</v>
      </c>
      <c r="E196">
        <f t="shared" si="29"/>
        <v>3355.8999999999996</v>
      </c>
      <c r="F196">
        <v>0</v>
      </c>
      <c r="G196">
        <v>0</v>
      </c>
      <c r="H196">
        <f t="shared" si="30"/>
        <v>3355.8999999999996</v>
      </c>
    </row>
    <row r="197" spans="1:8" x14ac:dyDescent="0.3">
      <c r="A197">
        <v>9</v>
      </c>
      <c r="B197" t="s">
        <v>204</v>
      </c>
      <c r="C197">
        <v>3800.9</v>
      </c>
      <c r="D197">
        <v>491.3</v>
      </c>
      <c r="E197">
        <f t="shared" si="29"/>
        <v>3309.6</v>
      </c>
      <c r="F197">
        <v>0</v>
      </c>
      <c r="G197">
        <v>0</v>
      </c>
      <c r="H197">
        <f t="shared" si="30"/>
        <v>3309.6</v>
      </c>
    </row>
    <row r="198" spans="1:8" x14ac:dyDescent="0.3">
      <c r="A198">
        <v>10</v>
      </c>
      <c r="B198" t="s">
        <v>204</v>
      </c>
      <c r="C198">
        <v>3833.9</v>
      </c>
      <c r="D198">
        <v>606</v>
      </c>
      <c r="E198">
        <f t="shared" si="29"/>
        <v>3227.9</v>
      </c>
      <c r="F198">
        <v>0</v>
      </c>
      <c r="G198">
        <v>0</v>
      </c>
      <c r="H198">
        <f t="shared" si="30"/>
        <v>3227.9</v>
      </c>
    </row>
    <row r="199" spans="1:8" x14ac:dyDescent="0.3">
      <c r="A199">
        <v>11</v>
      </c>
      <c r="B199" t="s">
        <v>204</v>
      </c>
      <c r="C199">
        <v>3833.9</v>
      </c>
      <c r="D199">
        <v>682.6</v>
      </c>
      <c r="E199">
        <f t="shared" si="29"/>
        <v>3151.3</v>
      </c>
      <c r="F199">
        <v>0</v>
      </c>
      <c r="G199">
        <v>0</v>
      </c>
      <c r="H199">
        <f t="shared" si="30"/>
        <v>3151.3</v>
      </c>
    </row>
    <row r="200" spans="1:8" x14ac:dyDescent="0.3">
      <c r="A200">
        <v>12</v>
      </c>
      <c r="B200" t="s">
        <v>204</v>
      </c>
      <c r="C200">
        <v>3833.9</v>
      </c>
      <c r="D200">
        <v>716.3</v>
      </c>
      <c r="E200">
        <f t="shared" si="29"/>
        <v>3117.6000000000004</v>
      </c>
      <c r="F200">
        <v>0</v>
      </c>
      <c r="G200">
        <v>0</v>
      </c>
      <c r="H200">
        <f t="shared" si="30"/>
        <v>3117.6000000000004</v>
      </c>
    </row>
    <row r="201" spans="1:8" x14ac:dyDescent="0.3">
      <c r="A201">
        <v>13</v>
      </c>
      <c r="B201" t="s">
        <v>204</v>
      </c>
      <c r="C201">
        <v>3800.9</v>
      </c>
      <c r="D201">
        <v>705</v>
      </c>
      <c r="E201">
        <f t="shared" si="29"/>
        <v>3095.9</v>
      </c>
      <c r="F201">
        <v>0</v>
      </c>
      <c r="G201">
        <v>0</v>
      </c>
      <c r="H201">
        <f t="shared" si="30"/>
        <v>3095.9</v>
      </c>
    </row>
    <row r="202" spans="1:8" x14ac:dyDescent="0.3">
      <c r="A202">
        <v>14</v>
      </c>
      <c r="B202" t="s">
        <v>204</v>
      </c>
      <c r="C202">
        <v>3767.8</v>
      </c>
      <c r="D202">
        <v>649.4</v>
      </c>
      <c r="E202">
        <f t="shared" si="29"/>
        <v>3118.4</v>
      </c>
      <c r="F202">
        <v>0</v>
      </c>
      <c r="G202">
        <v>0</v>
      </c>
      <c r="H202">
        <f t="shared" si="30"/>
        <v>3118.4</v>
      </c>
    </row>
    <row r="203" spans="1:8" x14ac:dyDescent="0.3">
      <c r="A203">
        <v>15</v>
      </c>
      <c r="B203" t="s">
        <v>204</v>
      </c>
      <c r="C203">
        <v>3734.8</v>
      </c>
      <c r="D203">
        <v>553</v>
      </c>
      <c r="E203">
        <f t="shared" si="29"/>
        <v>3181.8</v>
      </c>
      <c r="F203">
        <v>0</v>
      </c>
      <c r="G203">
        <v>0</v>
      </c>
      <c r="H203">
        <f t="shared" si="30"/>
        <v>3181.8</v>
      </c>
    </row>
    <row r="204" spans="1:8" x14ac:dyDescent="0.3">
      <c r="A204">
        <v>16</v>
      </c>
      <c r="B204" t="s">
        <v>204</v>
      </c>
      <c r="C204">
        <v>3701.7</v>
      </c>
      <c r="D204">
        <v>421.9</v>
      </c>
      <c r="E204">
        <f t="shared" si="29"/>
        <v>3279.7999999999997</v>
      </c>
      <c r="F204">
        <v>0</v>
      </c>
      <c r="G204">
        <v>0</v>
      </c>
      <c r="H204">
        <f t="shared" si="30"/>
        <v>3279.7999999999997</v>
      </c>
    </row>
    <row r="205" spans="1:8" x14ac:dyDescent="0.3">
      <c r="A205">
        <v>17</v>
      </c>
      <c r="B205" t="s">
        <v>204</v>
      </c>
      <c r="C205">
        <v>3635.6</v>
      </c>
      <c r="D205">
        <v>264.2</v>
      </c>
      <c r="E205">
        <f t="shared" si="29"/>
        <v>3371.4</v>
      </c>
      <c r="F205">
        <v>0</v>
      </c>
      <c r="G205">
        <v>0</v>
      </c>
      <c r="H205">
        <f t="shared" si="30"/>
        <v>3371.4</v>
      </c>
    </row>
    <row r="206" spans="1:8" x14ac:dyDescent="0.3">
      <c r="A206">
        <v>18</v>
      </c>
      <c r="B206" t="s">
        <v>204</v>
      </c>
      <c r="C206">
        <v>3701.7</v>
      </c>
      <c r="D206">
        <v>90</v>
      </c>
      <c r="E206">
        <f t="shared" si="29"/>
        <v>3611.7</v>
      </c>
      <c r="F206">
        <v>0</v>
      </c>
      <c r="G206">
        <v>0</v>
      </c>
      <c r="H206">
        <f t="shared" si="30"/>
        <v>3611.7</v>
      </c>
    </row>
    <row r="207" spans="1:8" x14ac:dyDescent="0.3">
      <c r="A207">
        <v>19</v>
      </c>
      <c r="B207" t="s">
        <v>204</v>
      </c>
      <c r="C207">
        <v>3767.8</v>
      </c>
      <c r="D207">
        <v>0</v>
      </c>
      <c r="E207">
        <f t="shared" si="29"/>
        <v>3767.8</v>
      </c>
      <c r="F207">
        <v>0</v>
      </c>
      <c r="G207">
        <v>0</v>
      </c>
      <c r="H207">
        <f t="shared" si="30"/>
        <v>3767.8</v>
      </c>
    </row>
    <row r="208" spans="1:8" x14ac:dyDescent="0.3">
      <c r="A208">
        <v>20</v>
      </c>
      <c r="B208" t="s">
        <v>205</v>
      </c>
      <c r="C208">
        <v>3701.7</v>
      </c>
      <c r="D208">
        <v>0</v>
      </c>
      <c r="E208">
        <f t="shared" si="29"/>
        <v>3701.7</v>
      </c>
      <c r="F208">
        <v>0</v>
      </c>
      <c r="G208" s="4">
        <f>MIN($C$28,MAX(0,E208-$E$216))</f>
        <v>3701.7</v>
      </c>
      <c r="H208" s="4">
        <f t="shared" si="30"/>
        <v>0</v>
      </c>
    </row>
    <row r="209" spans="1:8" x14ac:dyDescent="0.3">
      <c r="A209">
        <v>21</v>
      </c>
      <c r="B209" t="s">
        <v>205</v>
      </c>
      <c r="C209">
        <v>3470.4</v>
      </c>
      <c r="D209">
        <v>0</v>
      </c>
      <c r="E209">
        <f t="shared" si="29"/>
        <v>3470.4</v>
      </c>
      <c r="F209">
        <v>0</v>
      </c>
      <c r="G209" s="4">
        <f>MIN($C$28,MAX(0,E209-$E$216))</f>
        <v>3470.4</v>
      </c>
      <c r="H209" s="4">
        <f t="shared" si="30"/>
        <v>0</v>
      </c>
    </row>
    <row r="210" spans="1:8" x14ac:dyDescent="0.3">
      <c r="A210">
        <v>22</v>
      </c>
      <c r="B210" t="s">
        <v>204</v>
      </c>
      <c r="C210">
        <v>3139.9</v>
      </c>
      <c r="D210">
        <v>0</v>
      </c>
      <c r="E210">
        <f t="shared" si="29"/>
        <v>3139.9</v>
      </c>
      <c r="F210">
        <v>0</v>
      </c>
      <c r="G210">
        <v>0</v>
      </c>
      <c r="H210">
        <f t="shared" si="30"/>
        <v>3139.9</v>
      </c>
    </row>
    <row r="211" spans="1:8" x14ac:dyDescent="0.3">
      <c r="A211">
        <v>23</v>
      </c>
      <c r="B211" t="s">
        <v>204</v>
      </c>
      <c r="C211">
        <v>2908.5</v>
      </c>
      <c r="D211">
        <v>0</v>
      </c>
      <c r="E211">
        <f t="shared" si="29"/>
        <v>2908.5</v>
      </c>
      <c r="F211">
        <v>0</v>
      </c>
      <c r="G211">
        <v>0</v>
      </c>
      <c r="H211">
        <f t="shared" si="30"/>
        <v>2908.5</v>
      </c>
    </row>
    <row r="213" spans="1:8" x14ac:dyDescent="0.3">
      <c r="A213" s="27" t="s">
        <v>218</v>
      </c>
    </row>
    <row r="214" spans="1:8" x14ac:dyDescent="0.3">
      <c r="A214" t="s">
        <v>210</v>
      </c>
      <c r="E214" s="21">
        <f>MAX(E208:E209)</f>
        <v>3701.7</v>
      </c>
    </row>
    <row r="215" spans="1:8" x14ac:dyDescent="0.3">
      <c r="A215" t="s">
        <v>211</v>
      </c>
      <c r="E215" s="21">
        <f>$C$30</f>
        <v>7281.2160379716788</v>
      </c>
    </row>
    <row r="216" spans="1:8" x14ac:dyDescent="0.3">
      <c r="A216" t="s">
        <v>212</v>
      </c>
      <c r="E216" s="21">
        <f>MAX(0,(SUM(E208:E209)-MIN($C$30,SUM(E208:E209)))/2)</f>
        <v>0</v>
      </c>
    </row>
    <row r="217" spans="1:8" x14ac:dyDescent="0.3">
      <c r="A217" t="s">
        <v>213</v>
      </c>
      <c r="E217" s="21">
        <f>MAX(H208:H209)</f>
        <v>0</v>
      </c>
    </row>
    <row r="218" spans="1:8" x14ac:dyDescent="0.3">
      <c r="A218" s="27" t="s">
        <v>214</v>
      </c>
      <c r="E218" s="29">
        <f>E214-E217</f>
        <v>3701.7</v>
      </c>
    </row>
    <row r="219" spans="1:8" x14ac:dyDescent="0.3">
      <c r="A219" s="28" t="s">
        <v>219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Supuestos</vt:lpstr>
      <vt:lpstr>Preforma 1</vt:lpstr>
      <vt:lpstr>Preforma 2</vt:lpstr>
      <vt:lpstr>Tapa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Vidana</cp:lastModifiedBy>
  <dcterms:created xsi:type="dcterms:W3CDTF">2026-07-08T01:44:44Z</dcterms:created>
  <dcterms:modified xsi:type="dcterms:W3CDTF">2026-07-08T03:25:00Z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2026-07-08T01:45:03Z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037f3256-14fb-475e-8c96-ab00b07dfd56</vt:lpwstr>
  </property>
  <property fmtid="{D5CDD505-2E9C-101B-9397-08002B2CF9AE}" pid="7" name="MSIP_Label_defa4170-0d19-0005-0004-bc88714345d2_ActionId">
    <vt:lpwstr>5a92177a-52e3-46a8-9a2e-ca52fa74d8e9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