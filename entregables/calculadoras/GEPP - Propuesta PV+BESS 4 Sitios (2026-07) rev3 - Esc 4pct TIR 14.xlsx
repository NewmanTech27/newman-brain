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Supuestos" sheetId="2" r:id="rId5"/>
    <sheet state="visible" name="Ixtlahuacán" sheetId="3" r:id="rId6"/>
    <sheet state="visible" name="Acapulco" sheetId="4" r:id="rId7"/>
    <sheet state="visible" name="Cancún" sheetId="5" r:id="rId8"/>
    <sheet state="visible" name="Proplasa" sheetId="6" r:id="rId9"/>
  </sheets>
  <definedNames/>
  <calcPr fullCalcOnLoad="1"/>
  <extLst>
    <ext uri="GoogleSheetsCustomDataVersion2">
      <go:sheetsCustomData xmlns:go="http://customooxmlschemas.google.com/" r:id="rId10" roundtripDataChecksum="tMLUmaHoc0o7TylkorQ40Ydpx/tZIna/DS+rPtAyqXQ="/>
    </ext>
  </extLst>
</workbook>
</file>

<file path=xl/sharedStrings.xml><?xml version="1.0" encoding="utf-8"?>
<sst xmlns="http://schemas.openxmlformats.org/spreadsheetml/2006/main" count="1160" uniqueCount="239">
  <si>
    <t>GEPP — PROPUESTA SOLAR + BESS, 4 SITIOS | Resumen comparativo (MXN sin IVA) | jul-2026</t>
  </si>
  <si>
    <t>Sitio</t>
  </si>
  <si>
    <t>Opción / Esquema</t>
  </si>
  <si>
    <t>PV (kWp)</t>
  </si>
  <si>
    <t>BESS (kW)</t>
  </si>
  <si>
    <t>BESS (kWh)</t>
  </si>
  <si>
    <t>Gen (kWh/año)</t>
  </si>
  <si>
    <t>Gasto real hoy ($/año)</t>
  </si>
  <si>
    <t>Beneficio autoab. ($/año, →2032)</t>
  </si>
  <si>
    <t>Ahorro bruto ($)</t>
  </si>
  <si>
    <t>Pago PPA ($)</t>
  </si>
  <si>
    <t>Pago partic. ($)</t>
  </si>
  <si>
    <t>AHORRO NETO GEPP ($)</t>
  </si>
  <si>
    <t>% bruto</t>
  </si>
  <si>
    <t>% neto</t>
  </si>
  <si>
    <t>PPA (MXN/kWh)</t>
  </si>
  <si>
    <t>TIR PV</t>
  </si>
  <si>
    <t>TIR BESS @50%</t>
  </si>
  <si>
    <t>Ixtlahuacán</t>
  </si>
  <si>
    <t>Op1: Autoconsumo</t>
  </si>
  <si>
    <t>Op2: GD Medición Neta</t>
  </si>
  <si>
    <t>Acapulco</t>
  </si>
  <si>
    <t>Cancún</t>
  </si>
  <si>
    <t>Proplasa</t>
  </si>
  <si>
    <t>Op1: 2×GD + Autoconsumo</t>
  </si>
  <si>
    <t>Op2: 3× GD Medición Neta</t>
  </si>
  <si>
    <t>PORTAFOLIO</t>
  </si>
  <si>
    <t>Suma Opción 1</t>
  </si>
  <si>
    <t>Suma Opción 2</t>
  </si>
  <si>
    <t>Nota: "Gasto real hoy" ya refleja el descuento de autoabasto; el "Beneficio autoab." (naranja) se pierde en 2032 → el gasto real del cliente salta en 2033 (ver proyección 20 años de cada sitio). Nuestro ahorro $ es el hedge.</t>
  </si>
  <si>
    <t>SUPUESTOS DEL MODELO — editar celdas amarillas (todo sin IVA)</t>
  </si>
  <si>
    <t>Tipo de cambio (MXN/USD)</t>
  </si>
  <si>
    <t>MXN/USD</t>
  </si>
  <si>
    <t>Precio de venta PV (USD/Wp)</t>
  </si>
  <si>
    <t>USD/Wp</t>
  </si>
  <si>
    <t>Costo duro PV — informativo (USD/Wp)</t>
  </si>
  <si>
    <t>Precio BESS instalado (USD/Wh)</t>
  </si>
  <si>
    <t>USD/Wh</t>
  </si>
  <si>
    <t>Costo FOB BESS — informativo (USD/Wh)</t>
  </si>
  <si>
    <t>Escalación tarifas CFE (anual)</t>
  </si>
  <si>
    <t>%</t>
  </si>
  <si>
    <t>Escalación precio PPA (anual)</t>
  </si>
  <si>
    <t>Degradación PV (anual)</t>
  </si>
  <si>
    <t>Degradación BESS (anual)</t>
  </si>
  <si>
    <t>Profundidad de descarga BESS (DoD)</t>
  </si>
  <si>
    <t>Eficiencia round-trip BESS (RTE)</t>
  </si>
  <si>
    <t>Factor de carga p/ umbral de demanda</t>
  </si>
  <si>
    <t>Meses sin ahorro BESS al año (merma de riesgo)</t>
  </si>
  <si>
    <t>meses</t>
  </si>
  <si>
    <t>Participación del inversionista en ahorro BESS</t>
  </si>
  <si>
    <t>Plazo PPA / venta de energía PV (años)</t>
  </si>
  <si>
    <t>años</t>
  </si>
  <si>
    <t>Plazo BESS / participación en ahorro (años)</t>
  </si>
  <si>
    <t>Horizonte de análisis (años)</t>
  </si>
  <si>
    <t>Tasa de descuento / WACC</t>
  </si>
  <si>
    <t>O&amp;M PV (MXN/kWp·año)</t>
  </si>
  <si>
    <t>MXN/kWp</t>
  </si>
  <si>
    <t>O&amp;M BESS (MXN/kWh·año)</t>
  </si>
  <si>
    <t>MXN/kWh</t>
  </si>
  <si>
    <t>Densidad de instalación (m²/kWp)</t>
  </si>
  <si>
    <t>m²/kWp</t>
  </si>
  <si>
    <t>Año base del modelo (Año 1)</t>
  </si>
  <si>
    <t>año</t>
  </si>
  <si>
    <t>Año de término autoabasto TALA / ENEL</t>
  </si>
  <si>
    <t>SITIOS — recurso solar y superficie</t>
  </si>
  <si>
    <t>Municipio</t>
  </si>
  <si>
    <t>Tarifa</t>
  </si>
  <si>
    <t>Yield (kWh/kWp·año)</t>
  </si>
  <si>
    <t>Superficie disp. (m²)</t>
  </si>
  <si>
    <t>Ixtlahuacán de los Membrillos, Jal.</t>
  </si>
  <si>
    <t>DIST (Jalisco)</t>
  </si>
  <si>
    <t>Acapulco de Juárez, Gro.</t>
  </si>
  <si>
    <t>GDMTH (Centro Sur)</t>
  </si>
  <si>
    <t>Benito Juárez, Q.R.</t>
  </si>
  <si>
    <t>GDMTH (Peninsular)</t>
  </si>
  <si>
    <t>Cuautitlán Izcalli, Méx.</t>
  </si>
  <si>
    <t>GDMTH (V. de México Norte)</t>
  </si>
  <si>
    <t>SUPUESTOS Y NOTAS CLAVE</t>
  </si>
  <si>
    <t>• Baseline: últimos 12 meses reales may-25 → abr-26 (recibos CFE, sin IVA).</t>
  </si>
  <si>
    <t>• Autoabasto TALA (Ixtlahuacán, zafra) y ENEL (Proplasa) vencen 2032. Su beneficio actual se</t>
  </si>
  <si>
    <t xml:space="preserve">  cuantifica por sitio (fila "Beneficio autoabasto") y aparece en la proyección 20 años como la</t>
  </si>
  <si>
    <t xml:space="preserve">  brecha entre "Gasto CFE pleno" y "Gasto real"; esa brecha se cierra en 2033 → el gasto real del</t>
  </si>
  <si>
    <t xml:space="preserve">  cliente DA UN SALTO. El ahorro $ de nuestro sistema (PPA fijo) no cambia, por lo que cubre un %</t>
  </si>
  <si>
    <t xml:space="preserve">  menor de un recibo mayor, pero es justo el hedge que amortigua ese salto. Editar beneficio y año.</t>
  </si>
  <si>
    <t>• Plazo PPA y plazo BESS ahora son independientes (celdas B18/B19). Ej.: 12 años PPA + 20 de</t>
  </si>
  <si>
    <t xml:space="preserve">  participación en ahorro BESS. Tras el plazo PPA el ahorro PV queda 100% para GEPP (pago=0).</t>
  </si>
  <si>
    <t>• TIR nominal MXN, pre-IVA, sin apalancamiento, sobre precio de venta. PPA resuelto p/ TIR PV ~14%.</t>
  </si>
  <si>
    <t>• Marco legal: Ley del Sector Eléctrico (DOF 18-mar-2025). GD Exento &lt;0.7 MW sin permiso (Art. 30).</t>
  </si>
  <si>
    <t>• Módulo Tongwei TWMNF-66HD715 (715 Wp, η 23.0%). Densidad 4.0 m²/kWp.</t>
  </si>
  <si>
    <t>• Ahorros de demanda calibrados con simulación horaria al tamaño de diseño; escalan linealmente.</t>
  </si>
  <si>
    <t>GEPP Ixtlahuacán — Propuesta Solar + BESS   |   DIST (Jalisco)   |   Ixtlahuacán de los Membrillos, Jal.   (montos MXN sin IVA)</t>
  </si>
  <si>
    <t>1. DATOS BASE — últimos 12 meses reales (recibos CFE, sin IVA)</t>
  </si>
  <si>
    <t>Mes</t>
  </si>
  <si>
    <t>may-25</t>
  </si>
  <si>
    <t>jun-25</t>
  </si>
  <si>
    <t>jul-25</t>
  </si>
  <si>
    <t>ago-25</t>
  </si>
  <si>
    <t>sep-25</t>
  </si>
  <si>
    <t>oct-25</t>
  </si>
  <si>
    <t>nov-25</t>
  </si>
  <si>
    <t>dic-25</t>
  </si>
  <si>
    <t>ene-26</t>
  </si>
  <si>
    <t>feb-26</t>
  </si>
  <si>
    <t>mar-26</t>
  </si>
  <si>
    <t>abr-26</t>
  </si>
  <si>
    <t>TOTAL</t>
  </si>
  <si>
    <t>Consumo Base (kWh)</t>
  </si>
  <si>
    <t>Consumo Intermedia (kWh)</t>
  </si>
  <si>
    <t>Consumo Punta (kWh)</t>
  </si>
  <si>
    <t>Consumo Total (kWh)</t>
  </si>
  <si>
    <t>Dem. máx. en punta (kW)</t>
  </si>
  <si>
    <t>Dem. máx. mensual (kW)</t>
  </si>
  <si>
    <t>Días con punta</t>
  </si>
  <si>
    <t>Horas punta/día</t>
  </si>
  <si>
    <t>Días del mes</t>
  </si>
  <si>
    <t>Tarifa Base ($/kWh)</t>
  </si>
  <si>
    <t>Tarifa Intermedia ($/kWh)</t>
  </si>
  <si>
    <t>Tarifa Punta ($/kWh)</t>
  </si>
  <si>
    <t>Tarifa Capacidad ($/kW·mes)</t>
  </si>
  <si>
    <t>Tarifa Distribución ($/kW·mes)</t>
  </si>
  <si>
    <t>FC umbral (DIST)</t>
  </si>
  <si>
    <t>Gasto actual facturado ($ MXN)</t>
  </si>
  <si>
    <t>GDMTH=0.57 · DIST=0.74</t>
  </si>
  <si>
    <t>Umbral de demanda (kW) — FC DIST 0.74</t>
  </si>
  <si>
    <t>Yield PV (kWh/kWp)</t>
  </si>
  <si>
    <t>2. SISTEMA PROPUESTO — Opción 1 y Opción 2  (amarillo = editable)</t>
  </si>
  <si>
    <t>Concepto</t>
  </si>
  <si>
    <t>OPCIÓN 1 — Autoconsumo</t>
  </si>
  <si>
    <t>OPCIÓN 2 — GD Medición Neta</t>
  </si>
  <si>
    <t>Esquema legal</t>
  </si>
  <si>
    <t>Autoconsumo interconectado (permiso CNE simplificado)</t>
  </si>
  <si>
    <t>Generación Distribuida &lt;0.7 MW (sin permiso)</t>
  </si>
  <si>
    <t>Potencia PV (kWp DC)</t>
  </si>
  <si>
    <t>Superficie requerida (m²)</t>
  </si>
  <si>
    <t>BESS potencia (kW)</t>
  </si>
  <si>
    <t>BESS capacidad (kWh)</t>
  </si>
  <si>
    <t>Energía útil BESS (kWh)</t>
  </si>
  <si>
    <t>Precio PPA (MXN/kWh, año 1)</t>
  </si>
  <si>
    <t>Participación inversionista BESS (%)</t>
  </si>
  <si>
    <t>CAPEX PV (USD)</t>
  </si>
  <si>
    <t>CAPEX PV (MXN)</t>
  </si>
  <si>
    <t>CAPEX BESS (USD)</t>
  </si>
  <si>
    <t>CAPEX BESS (MXN)</t>
  </si>
  <si>
    <t>— Autoabasto TALA / ENEL (vence 2032) —</t>
  </si>
  <si>
    <t>Beneficio autoabasto actual ($/año)</t>
  </si>
  <si>
    <t>Gasto sin autoabasto — CFE pleno ($/año)</t>
  </si>
  <si>
    <t>Gasto real hoy (con autoabasto) ($/año)</t>
  </si>
  <si>
    <t>Generación PV año 1 (kWh)</t>
  </si>
  <si>
    <t>Energía facturada al PPA (kWh)</t>
  </si>
  <si>
    <t>Ahorro bruto PV año 1 ($)</t>
  </si>
  <si>
    <t>Ahorro bruto BESS año 1 c/merma ($)</t>
  </si>
  <si>
    <t>Ahorro bruto total ($)</t>
  </si>
  <si>
    <t>Pago PPA año 1 ($)</t>
  </si>
  <si>
    <t>Pago participación BESS ($)</t>
  </si>
  <si>
    <t>AHORRO NETO GEPP año 1 ($)</t>
  </si>
  <si>
    <t>% ahorro bruto (vs gasto real hoy)</t>
  </si>
  <si>
    <t>% ahorro neto (vs gasto real hoy)</t>
  </si>
  <si>
    <t>TIR inversionista PV</t>
  </si>
  <si>
    <t>TIR inversionista BESS</t>
  </si>
  <si>
    <t>Participación req. p/ TIR BESS 16%</t>
  </si>
  <si>
    <t>Payback simple inversionista PV (años)</t>
  </si>
  <si>
    <t>VAN GEPP del ahorro neto 20a (@WACC)</t>
  </si>
  <si>
    <t>3. MODELO MENSUAL AÑO 1 — OPCIÓN 1 — Autoconsumo  (vertical)</t>
  </si>
  <si>
    <t>Gen PV (kWh)</t>
  </si>
  <si>
    <t>%Base</t>
  </si>
  <si>
    <t>%Int</t>
  </si>
  <si>
    <t>%Punta</t>
  </si>
  <si>
    <t>PV→Base</t>
  </si>
  <si>
    <t>PV→Int</t>
  </si>
  <si>
    <t>PV→Punta</t>
  </si>
  <si>
    <t>Ahorro energía PV $</t>
  </si>
  <si>
    <t>Energía PPA (kWh)</t>
  </si>
  <si>
    <t>Ahorro distrib/umbral $ (motor)</t>
  </si>
  <si>
    <t>Ahorro PV total $</t>
  </si>
  <si>
    <t>BESS despl. punta kWh</t>
  </si>
  <si>
    <t>Costo carga base $</t>
  </si>
  <si>
    <t>Ahorro arbitraje $</t>
  </si>
  <si>
    <t>Ahorro capacidad $ (motor)</t>
  </si>
  <si>
    <t>Ahorro BESS bruto $</t>
  </si>
  <si>
    <t>Reducción dem. punta (kW)</t>
  </si>
  <si>
    <t>Dem. punta después (kW)</t>
  </si>
  <si>
    <t>Q (Ahorro capacidad → flujo BESS) y L (Ahorro distrib/umbral → flujo PV) provienen de la simulación horaria al tamaño de diseño (memoria MC-GEPP-4SITIOS-2026-07 §4); escalan con MIN(1, E_útil/E_diseño). El rasurado que los sustenta se ilustra abajo (Despacho día típico, rasurado plano). Columnas S–T: demanda de punta facturable resultante mes a mes (Reducción = Q ÷ tarifa capacidad; Después = Dmáx punta − Reducción).</t>
  </si>
  <si>
    <t>4. MODELO MENSUAL AÑO 1 — OPCIÓN 2 — GD Medición Neta  (vertical)</t>
  </si>
  <si>
    <t>5. PROYECCIÓN 20 AÑOS — OPCIÓN 1 — Autoconsumo  (vertical, con cliff autoabasto 2032)</t>
  </si>
  <si>
    <t>Año</t>
  </si>
  <si>
    <t>Gasto CFE pleno $</t>
  </si>
  <si>
    <t>Beneficio autoabasto $</t>
  </si>
  <si>
    <t>Gasto real sin sistema $</t>
  </si>
  <si>
    <t>Ahorro PV $</t>
  </si>
  <si>
    <t>Ahorro BESS $</t>
  </si>
  <si>
    <t>Pago PPA $</t>
  </si>
  <si>
    <t>Pago particip. BESS $</t>
  </si>
  <si>
    <t>Ahorro neto GEPP $</t>
  </si>
  <si>
    <t>Acumulado GEPP $</t>
  </si>
  <si>
    <t>% ahorro</t>
  </si>
  <si>
    <t>Flujo inv. PV $</t>
  </si>
  <si>
    <t>Flujo inv. BESS $</t>
  </si>
  <si>
    <t>Flujo inv. PV acum $</t>
  </si>
  <si>
    <t>Flujo inv. BESS acum $</t>
  </si>
  <si>
    <t>Año 0</t>
  </si>
  <si>
    <t>6. PROYECCIÓN 20 AÑOS — OPCIÓN 2 — GD Medición Neta  (vertical, con cliff autoabasto 2032)</t>
  </si>
  <si>
    <t>7. CASCADA DE AHORRO AÑO 1 — Opción 1 (datos de gráfica)</t>
  </si>
  <si>
    <t>Gasto real hoy</t>
  </si>
  <si>
    <t>Ahorro PV</t>
  </si>
  <si>
    <t>Ahorro BESS</t>
  </si>
  <si>
    <t>Pago PPA</t>
  </si>
  <si>
    <t>Pago particip.</t>
  </si>
  <si>
    <t>Gasto final + pagos</t>
  </si>
  <si>
    <t>Base invisible</t>
  </si>
  <si>
    <t>Valor</t>
  </si>
  <si>
    <t>8. DESPACHO DÍA TÍPICO — INVIERNO (punta 18–22h, 4h) — Opción 1 — Autoconsumo   (perfil sintético; rasurado plano — kW)</t>
  </si>
  <si>
    <t>Hora</t>
  </si>
  <si>
    <t>Periodo</t>
  </si>
  <si>
    <t>Carga Cliente (kW)</t>
  </si>
  <si>
    <t>Generación PV (kW)</t>
  </si>
  <si>
    <t>Carga tras PV (kW)</t>
  </si>
  <si>
    <t>BESS carga (kW, −)</t>
  </si>
  <si>
    <t>BESS descarga (kW)</t>
  </si>
  <si>
    <t>Carga NETA PV+BESS (kW)</t>
  </si>
  <si>
    <t>Base</t>
  </si>
  <si>
    <t>Intermedia</t>
  </si>
  <si>
    <t>Punta</t>
  </si>
  <si>
    <t>Lectura de demanda facturable en PUNTA — Invierno (del despacho de arriba)</t>
  </si>
  <si>
    <t xml:space="preserve">   Pico de demanda en punta ANTES del BESS (kW)</t>
  </si>
  <si>
    <t xml:space="preserve">   Energía útil del BESS disponible (kWh)</t>
  </si>
  <si>
    <t xml:space="preserve">   Nivel de rasurado plano — objetivo (kW)</t>
  </si>
  <si>
    <t xml:space="preserve">   Pico de demanda en punta DESPUÉS del BESS (kW)</t>
  </si>
  <si>
    <t xml:space="preserve">   Reducción de demanda facturable en punta (kW)</t>
  </si>
  <si>
    <t xml:space="preserve">   Ahorro de capacidad de un mes-tipo invernal ($)</t>
  </si>
  <si>
    <t>El modelo mensual (columna Q) aplica este mismo rasurado plano a la Dmáx real de cada mes; por eso el ahorro de capacidad no depende de rasurar una sola hora.</t>
  </si>
  <si>
    <t>9. DESPACHO DÍA TÍPICO — VERANO (punta 20–22h, 2h) — Opción 1 — Autoconsumo   (perfil sintético; rasurado plano — kW)</t>
  </si>
  <si>
    <t>Lectura de demanda facturable en PUNTA — Verano (del despacho de arriba)</t>
  </si>
  <si>
    <t>Nota: en verano la punta es de 2h (20–22h) → el BESS de 2h la cubre casi por completo (rasurado ≈ pico). En invierno la punta es 4h y el rasurado es parcial.</t>
  </si>
  <si>
    <t>GEPP Acapulco — Propuesta Solar + BESS   |   GDMTH (Centro Sur)   |   Acapulco de Juárez, Gro.   (montos MXN sin IVA)</t>
  </si>
  <si>
    <t>Umbral de demanda (kW)</t>
  </si>
  <si>
    <t>8. DESPACHO DÍA TÍPICO — INVIERNO (punta 18–22h, 4h) — Opción 2 — GD Medición Neta   (perfil sintético; rasurado plano — kW)</t>
  </si>
  <si>
    <t>9. DESPACHO DÍA TÍPICO — VERANO (punta 20–22h, 2h) — Opción 2 — GD Medición Neta   (perfil sintético; rasurado plano — kW)</t>
  </si>
  <si>
    <t>GEPP Cancún — Propuesta Solar + BESS   |   GDMTH (Peninsular)   |   Benito Juárez, Q.R.   (montos MXN sin IVA)</t>
  </si>
  <si>
    <t>GEPP Proplasa — Propuesta Solar + BESS   |   GDMTH (V. de México Norte)   |   Cuautitlán Izcalli, Méx.   (montos MXN sin IVA)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</si>
</sst>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#,##0.0000"/>
    <numFmt numFmtId="166" formatCode="0.000"/>
    <numFmt numFmtId="167" formatCode="0.0"/>
    <numFmt numFmtId="168" formatCode="#,##0.0"/>
  </numFmts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3B57"/>
        <bgColor rgb="FF1F3B57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6C7"/>
        <bgColor rgb="FFFFF6C7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3" xfId="0" applyFont="1" applyNumberFormat="1"/>
    <xf borderId="1" fillId="4" fontId="4" numFmtId="3" xfId="0" applyBorder="1" applyFill="1" applyFont="1" applyNumberFormat="1"/>
    <xf borderId="1" fillId="5" fontId="2" numFmtId="3" xfId="0" applyBorder="1" applyFill="1" applyFont="1" applyNumberFormat="1"/>
    <xf borderId="0" fillId="0" fontId="4" numFmtId="164" xfId="0" applyFont="1" applyNumberFormat="1"/>
    <xf borderId="0" fillId="0" fontId="4" numFmtId="165" xfId="0" applyFont="1" applyNumberFormat="1"/>
    <xf borderId="0" fillId="0" fontId="2" numFmtId="3" xfId="0" applyFont="1" applyNumberFormat="1"/>
    <xf borderId="2" fillId="6" fontId="4" numFmtId="4" xfId="0" applyBorder="1" applyFill="1" applyFont="1" applyNumberFormat="1"/>
    <xf borderId="2" fillId="6" fontId="4" numFmtId="166" xfId="0" applyBorder="1" applyFont="1" applyNumberFormat="1"/>
    <xf borderId="2" fillId="6" fontId="4" numFmtId="164" xfId="0" applyBorder="1" applyFont="1" applyNumberFormat="1"/>
    <xf borderId="2" fillId="6" fontId="4" numFmtId="2" xfId="0" applyBorder="1" applyFont="1" applyNumberFormat="1"/>
    <xf borderId="2" fillId="6" fontId="4" numFmtId="1" xfId="0" applyBorder="1" applyFont="1" applyNumberFormat="1"/>
    <xf borderId="2" fillId="6" fontId="4" numFmtId="3" xfId="0" applyBorder="1" applyFont="1" applyNumberFormat="1"/>
    <xf borderId="2" fillId="6" fontId="4" numFmtId="167" xfId="0" applyBorder="1" applyFont="1" applyNumberFormat="1"/>
    <xf borderId="1" fillId="3" fontId="2" numFmtId="0" xfId="0" applyBorder="1" applyFont="1"/>
    <xf borderId="0" fillId="0" fontId="4" numFmtId="1" xfId="0" applyFont="1" applyNumberFormat="1"/>
    <xf borderId="0" fillId="0" fontId="4" numFmtId="2" xfId="0" applyFont="1" applyNumberFormat="1"/>
    <xf borderId="0" fillId="0" fontId="4" numFmtId="4" xfId="0" applyFont="1" applyNumberFormat="1"/>
    <xf borderId="1" fillId="7" fontId="4" numFmtId="0" xfId="0" applyBorder="1" applyFill="1" applyFont="1"/>
    <xf borderId="0" fillId="0" fontId="4" numFmtId="168" xfId="0" applyFont="1" applyNumberFormat="1"/>
    <xf borderId="0" fillId="0" fontId="2" numFmtId="168" xfId="0" applyFont="1" applyNumberFormat="1"/>
    <xf borderId="1" fillId="6" fontId="4" numFmtId="3" xfId="0" applyBorder="1" applyFont="1" applyNumberFormat="1"/>
    <xf borderId="1" fillId="6" fontId="4" numFmtId="165" xfId="0" applyBorder="1" applyFont="1" applyNumberFormat="1"/>
    <xf borderId="1" fillId="4" fontId="2" numFmtId="0" xfId="0" applyBorder="1" applyFont="1"/>
    <xf borderId="1" fillId="4" fontId="4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Ixtlahuacán — Despacho día típico — INVIERNO (punta 4h) PV+BESS (Opción 1 — Autoconsumo)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BESS carga (kW, −)</c:v>
          </c:tx>
          <c:spPr>
            <a:solidFill>
              <a:srgbClr val="2E9BD6"/>
            </a:solidFill>
            <a:ln cmpd="sng">
              <a:noFill/>
            </a:ln>
          </c:spPr>
          <c:cat>
            <c:strRef>
              <c:f>'Ixtlahuacán'!$A$152:$A$175</c:f>
            </c:strRef>
          </c:cat>
          <c:val>
            <c:numRef>
              <c:f>'Ixtlahuacán'!$F$152:$F$175</c:f>
              <c:numCache/>
            </c:numRef>
          </c:val>
        </c:ser>
        <c:ser>
          <c:idx val="1"/>
          <c:order val="1"/>
          <c:tx>
            <c:v>BESS descarga (kW)</c:v>
          </c:tx>
          <c:spPr>
            <a:solidFill>
              <a:srgbClr val="70AD47"/>
            </a:solidFill>
            <a:ln cmpd="sng">
              <a:noFill/>
            </a:ln>
          </c:spPr>
          <c:cat>
            <c:strRef>
              <c:f>'Ixtlahuacán'!$A$152:$A$175</c:f>
            </c:strRef>
          </c:cat>
          <c:val>
            <c:numRef>
              <c:f>'Ixtlahuacán'!$G$152:$G$175</c:f>
              <c:numCache/>
            </c:numRef>
          </c:val>
        </c:ser>
        <c:axId val="1302703448"/>
        <c:axId val="263474426"/>
      </c:barChart>
      <c:lineChart>
        <c:ser>
          <c:idx val="2"/>
          <c:order val="2"/>
          <c:tx>
            <c:v>Carga Cliente (kW)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'Ixtlahuacán'!$A$152:$A$175</c:f>
            </c:strRef>
          </c:cat>
          <c:val>
            <c:numRef>
              <c:f>'Ixtlahuacán'!$C$152:$C$175</c:f>
              <c:numCache/>
            </c:numRef>
          </c:val>
          <c:smooth val="0"/>
        </c:ser>
        <c:ser>
          <c:idx val="3"/>
          <c:order val="3"/>
          <c:tx>
            <c:v>Generación PV (kW)</c:v>
          </c:tx>
          <c:spPr>
            <a:ln cmpd="sng" w="19050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'Ixtlahuacán'!$A$152:$A$175</c:f>
            </c:strRef>
          </c:cat>
          <c:val>
            <c:numRef>
              <c:f>'Ixtlahuacán'!$D$152:$D$175</c:f>
              <c:numCache/>
            </c:numRef>
          </c:val>
          <c:smooth val="0"/>
        </c:ser>
        <c:ser>
          <c:idx val="4"/>
          <c:order val="4"/>
          <c:tx>
            <c:v>Carga NETA PV+BESS (kW)</c:v>
          </c:tx>
          <c:spPr>
            <a:ln cmpd="sng" w="28575">
              <a:solidFill>
                <a:srgbClr val="1F7A1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'Ixtlahuacán'!$A$152:$A$175</c:f>
            </c:strRef>
          </c:cat>
          <c:val>
            <c:numRef>
              <c:f>'Ixtlahuacán'!$H$152:$H$175</c:f>
              <c:numCache/>
            </c:numRef>
          </c:val>
          <c:smooth val="0"/>
        </c:ser>
        <c:axId val="1302703448"/>
        <c:axId val="263474426"/>
      </c:lineChart>
      <c:catAx>
        <c:axId val="1302703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 del 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474426"/>
      </c:catAx>
      <c:valAx>
        <c:axId val="263474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kW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27034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Ixtlahuacán — Autoabasto: la banda naranja (beneficio) se pierde en 2032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v>Gasto real sin sistema</c:v>
          </c:tx>
          <c:spPr>
            <a:solidFill>
              <a:srgbClr val="8FAADC">
                <a:alpha val="30000"/>
              </a:srgbClr>
            </a:solidFill>
            <a:ln cmpd="sng">
              <a:solidFill>
                <a:srgbClr val="8FAADC"/>
              </a:solidFill>
            </a:ln>
          </c:spPr>
          <c:cat>
            <c:strRef>
              <c:f>'Ixtlahuacán'!$B$95:$B$114</c:f>
            </c:strRef>
          </c:cat>
          <c:val>
            <c:numRef>
              <c:f>'Ixtlahuacán'!$E$95:$E$114</c:f>
              <c:numCache/>
            </c:numRef>
          </c:val>
        </c:ser>
        <c:ser>
          <c:idx val="1"/>
          <c:order val="1"/>
          <c:tx>
            <c:v>Beneficio autoabasto (TALA/ENEL)</c:v>
          </c:tx>
          <c:spPr>
            <a:solidFill>
              <a:srgbClr val="ED7D31">
                <a:alpha val="30000"/>
              </a:srgbClr>
            </a:solidFill>
            <a:ln cmpd="sng">
              <a:solidFill>
                <a:srgbClr val="ED7D31"/>
              </a:solidFill>
            </a:ln>
          </c:spPr>
          <c:cat>
            <c:strRef>
              <c:f>'Ixtlahuacán'!$B$95:$B$114</c:f>
            </c:strRef>
          </c:cat>
          <c:val>
            <c:numRef>
              <c:f>'Ixtlahuacán'!$D$95:$D$114</c:f>
              <c:numCache/>
            </c:numRef>
          </c:val>
        </c:ser>
        <c:axId val="288647941"/>
        <c:axId val="658944689"/>
      </c:areaChart>
      <c:catAx>
        <c:axId val="288647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8944689"/>
      </c:catAx>
      <c:valAx>
        <c:axId val="658944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MXN/año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86479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Ixtlahuacán — Despacho VERANO (punta 2h): rasurado plano</a:t>
            </a:r>
          </a:p>
        </c:rich>
      </c:tx>
      <c:overlay val="0"/>
    </c:title>
    <c:plotArea>
      <c:layout/>
      <c:lineChart>
        <c:ser>
          <c:idx val="0"/>
          <c:order val="0"/>
          <c:tx>
            <c:v>Carga tras PV (kW)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'Ixtlahuacán'!$A$188:$A$211</c:f>
            </c:strRef>
          </c:cat>
          <c:val>
            <c:numRef>
              <c:f>'Ixtlahuacán'!$E$188:$E$211</c:f>
              <c:numCache/>
            </c:numRef>
          </c:val>
          <c:smooth val="0"/>
        </c:ser>
        <c:ser>
          <c:idx val="1"/>
          <c:order val="1"/>
          <c:tx>
            <c:v>Carga NETA PV+BESS (kW)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'Ixtlahuacán'!$A$188:$A$211</c:f>
            </c:strRef>
          </c:cat>
          <c:val>
            <c:numRef>
              <c:f>'Ixtlahuacán'!$H$188:$H$211</c:f>
              <c:numCache/>
            </c:numRef>
          </c:val>
          <c:smooth val="0"/>
        </c:ser>
        <c:axId val="2111019766"/>
        <c:axId val="982438089"/>
      </c:lineChart>
      <c:catAx>
        <c:axId val="21110197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2438089"/>
      </c:catAx>
      <c:valAx>
        <c:axId val="982438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10197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Ixtlahuacán — Despacho día típico — verano (punta 2h) PV+BESS (Opción 1 — Autoconsumo)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BESS carga (kW, −)</c:v>
          </c:tx>
          <c:spPr>
            <a:solidFill>
              <a:srgbClr val="2E9BD6"/>
            </a:solidFill>
            <a:ln cmpd="sng">
              <a:noFill/>
            </a:ln>
          </c:spPr>
          <c:cat>
            <c:strRef>
              <c:f>'Ixtlahuacán'!$A$152:$A$175</c:f>
            </c:strRef>
          </c:cat>
          <c:val>
            <c:numRef>
              <c:f>'Ixtlahuacán'!$F$188:$F$211</c:f>
              <c:numCache/>
            </c:numRef>
          </c:val>
        </c:ser>
        <c:ser>
          <c:idx val="1"/>
          <c:order val="1"/>
          <c:tx>
            <c:v>BESS descarga (kW)</c:v>
          </c:tx>
          <c:spPr>
            <a:solidFill>
              <a:srgbClr val="70AD47"/>
            </a:solidFill>
            <a:ln cmpd="sng">
              <a:noFill/>
            </a:ln>
          </c:spPr>
          <c:cat>
            <c:strRef>
              <c:f>'Ixtlahuacán'!$A$152:$A$175</c:f>
            </c:strRef>
          </c:cat>
          <c:val>
            <c:numRef>
              <c:f>'Ixtlahuacán'!$G$188:$G$211</c:f>
              <c:numCache/>
            </c:numRef>
          </c:val>
        </c:ser>
        <c:axId val="1640276620"/>
        <c:axId val="1574745768"/>
      </c:barChart>
      <c:lineChart>
        <c:ser>
          <c:idx val="2"/>
          <c:order val="2"/>
          <c:tx>
            <c:v>Carga Cliente (kW)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'Ixtlahuacán'!$A$152:$A$175</c:f>
            </c:strRef>
          </c:cat>
          <c:val>
            <c:numRef>
              <c:f>'Ixtlahuacán'!$C$188:$C$211</c:f>
              <c:numCache/>
            </c:numRef>
          </c:val>
          <c:smooth val="0"/>
        </c:ser>
        <c:ser>
          <c:idx val="3"/>
          <c:order val="3"/>
          <c:tx>
            <c:v>Generación PV (kW)</c:v>
          </c:tx>
          <c:spPr>
            <a:ln cmpd="sng" w="19050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'Ixtlahuacán'!$A$152:$A$175</c:f>
            </c:strRef>
          </c:cat>
          <c:val>
            <c:numRef>
              <c:f>'Ixtlahuacán'!$D$188:$D$211</c:f>
              <c:numCache/>
            </c:numRef>
          </c:val>
          <c:smooth val="0"/>
        </c:ser>
        <c:ser>
          <c:idx val="4"/>
          <c:order val="4"/>
          <c:tx>
            <c:v>Carga NETA PV+BESS (kW)</c:v>
          </c:tx>
          <c:spPr>
            <a:ln cmpd="sng" w="28575">
              <a:solidFill>
                <a:srgbClr val="1F7A1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'Ixtlahuacán'!$A$152:$A$175</c:f>
            </c:strRef>
          </c:cat>
          <c:val>
            <c:numRef>
              <c:f>'Ixtlahuacán'!$H$188:$H$211</c:f>
              <c:numCache/>
            </c:numRef>
          </c:val>
          <c:smooth val="0"/>
        </c:ser>
        <c:axId val="1640276620"/>
        <c:axId val="1574745768"/>
      </c:lineChart>
      <c:catAx>
        <c:axId val="1640276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 del 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745768"/>
      </c:catAx>
      <c:valAx>
        <c:axId val="1574745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kW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0276620"/>
      </c:valAx>
    </c:plotArea>
    <c:legend>
      <c:legendPos val="r"/>
      <c:layout>
        <c:manualLayout>
          <c:xMode val="edge"/>
          <c:yMode val="edge"/>
          <c:x val="0.6089184722222222"/>
          <c:y val="0.5655447712418301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Acapulco — Despacho día típico — INVIERNO (punta 4h) PV+BESS (Opción 2 — GD Medición Neta)</a:t>
            </a:r>
          </a:p>
        </c:rich>
      </c:tx>
      <c:overlay val="0"/>
    </c:title>
    <c:plotArea>
      <c:layout>
        <c:manualLayout>
          <c:xMode val="edge"/>
          <c:yMode val="edge"/>
          <c:x val="0.09217347222222222"/>
          <c:y val="0.025327450980392158"/>
          <c:w val="0.9072002777777778"/>
          <c:h val="0.9078418300653595"/>
        </c:manualLayout>
      </c:layout>
      <c:barChart>
        <c:barDir val="col"/>
        <c:ser>
          <c:idx val="0"/>
          <c:order val="0"/>
          <c:tx>
            <c:v>BESS carga (kW, −)</c:v>
          </c:tx>
          <c:spPr>
            <a:solidFill>
              <a:srgbClr val="2E9BD6"/>
            </a:solidFill>
            <a:ln cmpd="sng">
              <a:noFill/>
            </a:ln>
          </c:spPr>
          <c:cat>
            <c:strRef>
              <c:f>Acapulco!$A$152:$A$175</c:f>
            </c:strRef>
          </c:cat>
          <c:val>
            <c:numRef>
              <c:f>Acapulco!$F$152:$F$175</c:f>
              <c:numCache/>
            </c:numRef>
          </c:val>
        </c:ser>
        <c:ser>
          <c:idx val="1"/>
          <c:order val="1"/>
          <c:tx>
            <c:v>BESS descarga (kW)</c:v>
          </c:tx>
          <c:spPr>
            <a:solidFill>
              <a:srgbClr val="70AD47"/>
            </a:solidFill>
            <a:ln cmpd="sng">
              <a:noFill/>
            </a:ln>
          </c:spPr>
          <c:cat>
            <c:strRef>
              <c:f>Acapulco!$A$152:$A$175</c:f>
            </c:strRef>
          </c:cat>
          <c:val>
            <c:numRef>
              <c:f>Acapulco!$G$152:$G$175</c:f>
              <c:numCache/>
            </c:numRef>
          </c:val>
        </c:ser>
        <c:axId val="594222417"/>
        <c:axId val="812151009"/>
      </c:barChart>
      <c:lineChart>
        <c:ser>
          <c:idx val="2"/>
          <c:order val="2"/>
          <c:tx>
            <c:v>Carga Cliente (kW)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Acapulco!$A$152:$A$175</c:f>
            </c:strRef>
          </c:cat>
          <c:val>
            <c:numRef>
              <c:f>Acapulco!$C$152:$C$175</c:f>
              <c:numCache/>
            </c:numRef>
          </c:val>
          <c:smooth val="0"/>
        </c:ser>
        <c:ser>
          <c:idx val="3"/>
          <c:order val="3"/>
          <c:tx>
            <c:v>Generación PV (kW)</c:v>
          </c:tx>
          <c:spPr>
            <a:ln cmpd="sng" w="19050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Acapulco!$A$152:$A$175</c:f>
            </c:strRef>
          </c:cat>
          <c:val>
            <c:numRef>
              <c:f>Acapulco!$D$152:$D$175</c:f>
              <c:numCache/>
            </c:numRef>
          </c:val>
          <c:smooth val="0"/>
        </c:ser>
        <c:ser>
          <c:idx val="4"/>
          <c:order val="4"/>
          <c:tx>
            <c:v>Carga NETA PV+BESS (kW)</c:v>
          </c:tx>
          <c:spPr>
            <a:ln cmpd="sng" w="28575">
              <a:solidFill>
                <a:srgbClr val="1F7A1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Acapulco!$A$152:$A$175</c:f>
            </c:strRef>
          </c:cat>
          <c:val>
            <c:numRef>
              <c:f>Acapulco!$H$152:$H$175</c:f>
              <c:numCache/>
            </c:numRef>
          </c:val>
          <c:smooth val="0"/>
        </c:ser>
        <c:axId val="594222417"/>
        <c:axId val="812151009"/>
      </c:lineChart>
      <c:catAx>
        <c:axId val="594222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 del 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2151009"/>
      </c:catAx>
      <c:valAx>
        <c:axId val="812151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kW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4222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Acapulco — Despacho VERANO (punta 2h): rasurado plano</a:t>
            </a:r>
          </a:p>
        </c:rich>
      </c:tx>
      <c:overlay val="0"/>
    </c:title>
    <c:plotArea>
      <c:layout/>
      <c:lineChart>
        <c:ser>
          <c:idx val="0"/>
          <c:order val="0"/>
          <c:tx>
            <c:v>Carga tras PV (kW)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Acapulco!$A$188:$A$211</c:f>
            </c:strRef>
          </c:cat>
          <c:val>
            <c:numRef>
              <c:f>Acapulco!$E$188:$E$211</c:f>
              <c:numCache/>
            </c:numRef>
          </c:val>
          <c:smooth val="0"/>
        </c:ser>
        <c:ser>
          <c:idx val="1"/>
          <c:order val="1"/>
          <c:tx>
            <c:v>Carga NETA PV+BESS (kW)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Acapulco!$A$188:$A$211</c:f>
            </c:strRef>
          </c:cat>
          <c:val>
            <c:numRef>
              <c:f>Acapulco!$H$188:$H$211</c:f>
              <c:numCache/>
            </c:numRef>
          </c:val>
          <c:smooth val="0"/>
        </c:ser>
        <c:axId val="919355643"/>
        <c:axId val="998545001"/>
      </c:lineChart>
      <c:catAx>
        <c:axId val="919355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545001"/>
      </c:catAx>
      <c:valAx>
        <c:axId val="9985450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355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Cancún — Despacho día típico — INVIERNO (punta 4h) PV+BESS (Opción 2 — GD Medición Neta)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BESS carga (kW, −)</c:v>
          </c:tx>
          <c:spPr>
            <a:solidFill>
              <a:srgbClr val="2E9BD6"/>
            </a:solidFill>
            <a:ln cmpd="sng">
              <a:noFill/>
            </a:ln>
          </c:spPr>
          <c:cat>
            <c:strRef>
              <c:f>'Cancún'!$A$152:$A$175</c:f>
            </c:strRef>
          </c:cat>
          <c:val>
            <c:numRef>
              <c:f>'Cancún'!$F$152:$F$175</c:f>
              <c:numCache/>
            </c:numRef>
          </c:val>
        </c:ser>
        <c:ser>
          <c:idx val="1"/>
          <c:order val="1"/>
          <c:tx>
            <c:v>BESS descarga (kW)</c:v>
          </c:tx>
          <c:spPr>
            <a:solidFill>
              <a:srgbClr val="70AD47"/>
            </a:solidFill>
            <a:ln cmpd="sng">
              <a:noFill/>
            </a:ln>
          </c:spPr>
          <c:cat>
            <c:strRef>
              <c:f>'Cancún'!$A$152:$A$175</c:f>
            </c:strRef>
          </c:cat>
          <c:val>
            <c:numRef>
              <c:f>'Cancún'!$G$152:$G$175</c:f>
              <c:numCache/>
            </c:numRef>
          </c:val>
        </c:ser>
        <c:axId val="902775420"/>
        <c:axId val="1719091644"/>
      </c:barChart>
      <c:lineChart>
        <c:ser>
          <c:idx val="2"/>
          <c:order val="2"/>
          <c:tx>
            <c:v>Carga Cliente (kW)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'Cancún'!$A$152:$A$175</c:f>
            </c:strRef>
          </c:cat>
          <c:val>
            <c:numRef>
              <c:f>'Cancún'!$C$152:$C$175</c:f>
              <c:numCache/>
            </c:numRef>
          </c:val>
          <c:smooth val="0"/>
        </c:ser>
        <c:ser>
          <c:idx val="3"/>
          <c:order val="3"/>
          <c:tx>
            <c:v>Generación PV (kW)</c:v>
          </c:tx>
          <c:spPr>
            <a:ln cmpd="sng" w="19050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'Cancún'!$A$152:$A$175</c:f>
            </c:strRef>
          </c:cat>
          <c:val>
            <c:numRef>
              <c:f>'Cancún'!$D$152:$D$175</c:f>
              <c:numCache/>
            </c:numRef>
          </c:val>
          <c:smooth val="0"/>
        </c:ser>
        <c:ser>
          <c:idx val="4"/>
          <c:order val="4"/>
          <c:tx>
            <c:v>Carga NETA PV+BESS (kW)</c:v>
          </c:tx>
          <c:spPr>
            <a:ln cmpd="sng" w="28575">
              <a:solidFill>
                <a:srgbClr val="1F7A1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'Cancún'!$A$152:$A$175</c:f>
            </c:strRef>
          </c:cat>
          <c:val>
            <c:numRef>
              <c:f>'Cancún'!$H$152:$H$175</c:f>
              <c:numCache/>
            </c:numRef>
          </c:val>
          <c:smooth val="0"/>
        </c:ser>
        <c:axId val="902775420"/>
        <c:axId val="1719091644"/>
      </c:lineChart>
      <c:catAx>
        <c:axId val="902775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 del 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9091644"/>
      </c:catAx>
      <c:valAx>
        <c:axId val="17190916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kW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27754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Cancún — Despacho VERANO (punta 2h): rasurado plano</a:t>
            </a:r>
          </a:p>
        </c:rich>
      </c:tx>
      <c:overlay val="0"/>
    </c:title>
    <c:plotArea>
      <c:layout/>
      <c:lineChart>
        <c:ser>
          <c:idx val="0"/>
          <c:order val="0"/>
          <c:tx>
            <c:v>Carga tras PV (kW)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'Cancún'!$A$188:$A$211</c:f>
            </c:strRef>
          </c:cat>
          <c:val>
            <c:numRef>
              <c:f>'Cancún'!$E$188:$E$211</c:f>
              <c:numCache/>
            </c:numRef>
          </c:val>
          <c:smooth val="0"/>
        </c:ser>
        <c:ser>
          <c:idx val="1"/>
          <c:order val="1"/>
          <c:tx>
            <c:v>Carga NETA PV+BESS (kW)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'Cancún'!$A$188:$A$211</c:f>
            </c:strRef>
          </c:cat>
          <c:val>
            <c:numRef>
              <c:f>'Cancún'!$H$188:$H$211</c:f>
              <c:numCache/>
            </c:numRef>
          </c:val>
          <c:smooth val="0"/>
        </c:ser>
        <c:axId val="1137367590"/>
        <c:axId val="1365260318"/>
      </c:lineChart>
      <c:catAx>
        <c:axId val="1137367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5260318"/>
      </c:catAx>
      <c:valAx>
        <c:axId val="1365260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73675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Proplasa — Despacho día típico — INVIERNO (punta 4h) PV+BESS (Opción 1 — Autoconsumo)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BESS carga (kW, −)</c:v>
          </c:tx>
          <c:spPr>
            <a:solidFill>
              <a:srgbClr val="2E9BD6"/>
            </a:solidFill>
            <a:ln cmpd="sng">
              <a:noFill/>
            </a:ln>
          </c:spPr>
          <c:cat>
            <c:strRef>
              <c:f>Proplasa!$A$152:$A$175</c:f>
            </c:strRef>
          </c:cat>
          <c:val>
            <c:numRef>
              <c:f>Proplasa!$F$152:$F$175</c:f>
              <c:numCache/>
            </c:numRef>
          </c:val>
        </c:ser>
        <c:ser>
          <c:idx val="1"/>
          <c:order val="1"/>
          <c:tx>
            <c:v>BESS descarga (kW)</c:v>
          </c:tx>
          <c:spPr>
            <a:solidFill>
              <a:srgbClr val="70AD47"/>
            </a:solidFill>
            <a:ln cmpd="sng">
              <a:noFill/>
            </a:ln>
          </c:spPr>
          <c:cat>
            <c:strRef>
              <c:f>Proplasa!$A$152:$A$175</c:f>
            </c:strRef>
          </c:cat>
          <c:val>
            <c:numRef>
              <c:f>Proplasa!$G$152:$G$175</c:f>
              <c:numCache/>
            </c:numRef>
          </c:val>
        </c:ser>
        <c:axId val="1808554004"/>
        <c:axId val="1461434498"/>
      </c:barChart>
      <c:lineChart>
        <c:ser>
          <c:idx val="2"/>
          <c:order val="2"/>
          <c:tx>
            <c:v>Carga Cliente (kW)</c:v>
          </c:tx>
          <c:spPr>
            <a:ln cmpd="sng" w="19050">
              <a:solidFill>
                <a:srgbClr val="80808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Proplasa!$A$152:$A$175</c:f>
            </c:strRef>
          </c:cat>
          <c:val>
            <c:numRef>
              <c:f>Proplasa!$C$152:$C$175</c:f>
              <c:numCache/>
            </c:numRef>
          </c:val>
          <c:smooth val="0"/>
        </c:ser>
        <c:ser>
          <c:idx val="3"/>
          <c:order val="3"/>
          <c:tx>
            <c:v>Generación PV (kW)</c:v>
          </c:tx>
          <c:spPr>
            <a:ln cmpd="sng" w="19050">
              <a:solidFill>
                <a:srgbClr val="FFC000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Proplasa!$A$152:$A$175</c:f>
            </c:strRef>
          </c:cat>
          <c:val>
            <c:numRef>
              <c:f>Proplasa!$D$152:$D$175</c:f>
              <c:numCache/>
            </c:numRef>
          </c:val>
          <c:smooth val="0"/>
        </c:ser>
        <c:ser>
          <c:idx val="4"/>
          <c:order val="4"/>
          <c:tx>
            <c:v>Carga NETA PV+BESS (kW)</c:v>
          </c:tx>
          <c:spPr>
            <a:ln cmpd="sng" w="28575">
              <a:solidFill>
                <a:srgbClr val="1F7A1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Proplasa!$A$152:$A$175</c:f>
            </c:strRef>
          </c:cat>
          <c:val>
            <c:numRef>
              <c:f>Proplasa!$H$152:$H$175</c:f>
              <c:numCache/>
            </c:numRef>
          </c:val>
          <c:smooth val="0"/>
        </c:ser>
        <c:axId val="1808554004"/>
        <c:axId val="1461434498"/>
      </c:lineChart>
      <c:catAx>
        <c:axId val="1808554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 del 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434498"/>
      </c:catAx>
      <c:valAx>
        <c:axId val="14614344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kW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85540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Proplasa — Autoabasto: la banda naranja (beneficio) se pierde en 2032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v>Gasto real sin sistema</c:v>
          </c:tx>
          <c:spPr>
            <a:solidFill>
              <a:srgbClr val="8FAADC">
                <a:alpha val="30000"/>
              </a:srgbClr>
            </a:solidFill>
            <a:ln cmpd="sng">
              <a:solidFill>
                <a:srgbClr val="8FAADC"/>
              </a:solidFill>
            </a:ln>
          </c:spPr>
          <c:cat>
            <c:strRef>
              <c:f>Proplasa!$B$95:$B$114</c:f>
            </c:strRef>
          </c:cat>
          <c:val>
            <c:numRef>
              <c:f>Proplasa!$E$95:$E$114</c:f>
              <c:numCache/>
            </c:numRef>
          </c:val>
        </c:ser>
        <c:ser>
          <c:idx val="1"/>
          <c:order val="1"/>
          <c:tx>
            <c:v>Beneficio autoabasto (TALA/ENEL)</c:v>
          </c:tx>
          <c:spPr>
            <a:solidFill>
              <a:srgbClr val="ED7D31">
                <a:alpha val="30000"/>
              </a:srgbClr>
            </a:solidFill>
            <a:ln cmpd="sng">
              <a:solidFill>
                <a:srgbClr val="ED7D31"/>
              </a:solidFill>
            </a:ln>
          </c:spPr>
          <c:cat>
            <c:strRef>
              <c:f>Proplasa!$B$95:$B$114</c:f>
            </c:strRef>
          </c:cat>
          <c:val>
            <c:numRef>
              <c:f>Proplasa!$D$95:$D$114</c:f>
              <c:numCache/>
            </c:numRef>
          </c:val>
        </c:ser>
        <c:axId val="759330895"/>
        <c:axId val="469730015"/>
      </c:areaChart>
      <c:catAx>
        <c:axId val="759330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9730015"/>
      </c:catAx>
      <c:valAx>
        <c:axId val="4697300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MXN/año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3308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Proplasa — Despacho VERANO (punta 2h): rasurado plano</a:t>
            </a:r>
          </a:p>
        </c:rich>
      </c:tx>
      <c:overlay val="0"/>
    </c:title>
    <c:plotArea>
      <c:layout/>
      <c:lineChart>
        <c:ser>
          <c:idx val="0"/>
          <c:order val="0"/>
          <c:tx>
            <c:v>Carga tras PV (kW)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Proplasa!$A$188:$A$211</c:f>
            </c:strRef>
          </c:cat>
          <c:val>
            <c:numRef>
              <c:f>Proplasa!$E$188:$E$211</c:f>
              <c:numCache/>
            </c:numRef>
          </c:val>
          <c:smooth val="0"/>
        </c:ser>
        <c:ser>
          <c:idx val="1"/>
          <c:order val="1"/>
          <c:tx>
            <c:v>Carga NETA PV+BESS (kW)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Proplasa!$A$188:$A$211</c:f>
            </c:strRef>
          </c:cat>
          <c:val>
            <c:numRef>
              <c:f>Proplasa!$H$188:$H$211</c:f>
              <c:numCache/>
            </c:numRef>
          </c:val>
          <c:smooth val="0"/>
        </c:ser>
        <c:axId val="681673714"/>
        <c:axId val="1608230962"/>
      </c:lineChart>
      <c:catAx>
        <c:axId val="681673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230962"/>
      </c:catAx>
      <c:valAx>
        <c:axId val="1608230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16737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409575</xdr:colOff>
      <xdr:row>147</xdr:row>
      <xdr:rowOff>66675</xdr:rowOff>
    </xdr:from>
    <xdr:ext cx="7191375" cy="3057525"/>
    <xdr:graphicFrame>
      <xdr:nvGraphicFramePr>
        <xdr:cNvPr id="117849730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166</xdr:row>
      <xdr:rowOff>0</xdr:rowOff>
    </xdr:from>
    <xdr:ext cx="7191375" cy="3057525"/>
    <xdr:graphicFrame>
      <xdr:nvGraphicFramePr>
        <xdr:cNvPr id="27885968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409575</xdr:colOff>
      <xdr:row>186</xdr:row>
      <xdr:rowOff>123825</xdr:rowOff>
    </xdr:from>
    <xdr:ext cx="5305425" cy="3028950"/>
    <xdr:graphicFrame>
      <xdr:nvGraphicFramePr>
        <xdr:cNvPr id="214672646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0</xdr:colOff>
      <xdr:row>201</xdr:row>
      <xdr:rowOff>0</xdr:rowOff>
    </xdr:from>
    <xdr:ext cx="7191375" cy="3057525"/>
    <xdr:graphicFrame>
      <xdr:nvGraphicFramePr>
        <xdr:cNvPr id="18160344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276225</xdr:colOff>
      <xdr:row>150</xdr:row>
      <xdr:rowOff>9525</xdr:rowOff>
    </xdr:from>
    <xdr:ext cx="7191375" cy="3057525"/>
    <xdr:graphicFrame>
      <xdr:nvGraphicFramePr>
        <xdr:cNvPr id="13693905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371475</xdr:colOff>
      <xdr:row>186</xdr:row>
      <xdr:rowOff>38100</xdr:rowOff>
    </xdr:from>
    <xdr:ext cx="5305425" cy="3009900"/>
    <xdr:graphicFrame>
      <xdr:nvGraphicFramePr>
        <xdr:cNvPr id="123816775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149</xdr:row>
      <xdr:rowOff>0</xdr:rowOff>
    </xdr:from>
    <xdr:ext cx="7191375" cy="3057525"/>
    <xdr:graphicFrame>
      <xdr:nvGraphicFramePr>
        <xdr:cNvPr id="1113063635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187</xdr:row>
      <xdr:rowOff>0</xdr:rowOff>
    </xdr:from>
    <xdr:ext cx="5324475" cy="3009900"/>
    <xdr:graphicFrame>
      <xdr:nvGraphicFramePr>
        <xdr:cNvPr id="1296718565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149</xdr:row>
      <xdr:rowOff>0</xdr:rowOff>
    </xdr:from>
    <xdr:ext cx="7191375" cy="3057525"/>
    <xdr:graphicFrame>
      <xdr:nvGraphicFramePr>
        <xdr:cNvPr id="88182727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166</xdr:row>
      <xdr:rowOff>0</xdr:rowOff>
    </xdr:from>
    <xdr:ext cx="7191375" cy="3057525"/>
    <xdr:graphicFrame>
      <xdr:nvGraphicFramePr>
        <xdr:cNvPr id="821191329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0</xdr:colOff>
      <xdr:row>187</xdr:row>
      <xdr:rowOff>0</xdr:rowOff>
    </xdr:from>
    <xdr:ext cx="5324475" cy="3009900"/>
    <xdr:graphicFrame>
      <xdr:nvGraphicFramePr>
        <xdr:cNvPr id="1415480818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0"/>
    <col customWidth="1" min="2" max="2" width="30.0"/>
    <col customWidth="1" min="3" max="17" width="15.0"/>
    <col customWidth="1" min="18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ht="14.25" customHeight="1">
      <c r="A4" s="3" t="s">
        <v>18</v>
      </c>
      <c r="B4" s="4" t="s">
        <v>19</v>
      </c>
      <c r="C4" s="5">
        <f>'Ixtlahuacán'!C26</f>
        <v>4550</v>
      </c>
      <c r="D4" s="5">
        <f>'Ixtlahuacán'!C28</f>
        <v>3700</v>
      </c>
      <c r="E4" s="5">
        <f>'Ixtlahuacán'!C29</f>
        <v>7400</v>
      </c>
      <c r="F4" s="5">
        <f>'Ixtlahuacán'!C41</f>
        <v>8114834</v>
      </c>
      <c r="G4" s="5">
        <f>'Ixtlahuacán'!N19</f>
        <v>52141327</v>
      </c>
      <c r="H4" s="6">
        <f>'Ixtlahuacán'!C38</f>
        <v>1649526.96</v>
      </c>
      <c r="I4" s="5">
        <f>'Ixtlahuacán'!C45</f>
        <v>25368711.99</v>
      </c>
      <c r="J4" s="5">
        <f>'Ixtlahuacán'!C46</f>
        <v>8343801.792</v>
      </c>
      <c r="K4" s="5">
        <f>'Ixtlahuacán'!C47</f>
        <v>5678437.172</v>
      </c>
      <c r="L4" s="7">
        <f>'Ixtlahuacán'!C48</f>
        <v>11346473.02</v>
      </c>
      <c r="M4" s="8">
        <f>'Ixtlahuacán'!C49</f>
        <v>0.4865375211</v>
      </c>
      <c r="N4" s="8">
        <f>'Ixtlahuacán'!C50</f>
        <v>0.217609978</v>
      </c>
      <c r="O4" s="9">
        <f>'Ixtlahuacán'!C31</f>
        <v>1.0492</v>
      </c>
      <c r="P4" s="8">
        <f>'Ixtlahuacán'!C51</f>
        <v>0.1431528541</v>
      </c>
      <c r="Q4" s="8">
        <f>'Ixtlahuacán'!C52</f>
        <v>0.113627705</v>
      </c>
    </row>
    <row r="5" ht="14.25" customHeight="1">
      <c r="B5" s="4" t="s">
        <v>20</v>
      </c>
      <c r="C5" s="5">
        <f>'Ixtlahuacán'!D26</f>
        <v>839.45</v>
      </c>
      <c r="D5" s="5">
        <f>'Ixtlahuacán'!D28</f>
        <v>3700</v>
      </c>
      <c r="E5" s="5">
        <f>'Ixtlahuacán'!D29</f>
        <v>7400</v>
      </c>
      <c r="F5" s="5">
        <f>'Ixtlahuacán'!D41</f>
        <v>1497142.286</v>
      </c>
      <c r="G5" s="5">
        <f>'Ixtlahuacán'!N19</f>
        <v>52141327</v>
      </c>
      <c r="H5" s="6">
        <f>'Ixtlahuacán'!C38</f>
        <v>1649526.96</v>
      </c>
      <c r="I5" s="5">
        <f>'Ixtlahuacán'!D45</f>
        <v>13993337.64</v>
      </c>
      <c r="J5" s="5">
        <f>'Ixtlahuacán'!D46</f>
        <v>1539363.755</v>
      </c>
      <c r="K5" s="5">
        <f>'Ixtlahuacán'!D47</f>
        <v>5678437.172</v>
      </c>
      <c r="L5" s="7">
        <f>'Ixtlahuacán'!D48</f>
        <v>6775536.712</v>
      </c>
      <c r="M5" s="8">
        <f>'Ixtlahuacán'!D49</f>
        <v>0.2683732548</v>
      </c>
      <c r="N5" s="8">
        <f>'Ixtlahuacán'!D50</f>
        <v>0.1299456132</v>
      </c>
      <c r="O5" s="9">
        <f>'Ixtlahuacán'!D31</f>
        <v>1.0282</v>
      </c>
      <c r="P5" s="8">
        <f>'Ixtlahuacán'!D51</f>
        <v>0.1431497648</v>
      </c>
      <c r="Q5" s="8">
        <f>'Ixtlahuacán'!D52</f>
        <v>0.113627705</v>
      </c>
    </row>
    <row r="6" ht="14.25" customHeight="1">
      <c r="A6" s="3" t="s">
        <v>21</v>
      </c>
      <c r="B6" s="4" t="s">
        <v>19</v>
      </c>
      <c r="C6" s="5">
        <f>Acapulco!C26</f>
        <v>1618</v>
      </c>
      <c r="D6" s="5">
        <f>Acapulco!C28</f>
        <v>1648</v>
      </c>
      <c r="E6" s="5">
        <f>Acapulco!C29</f>
        <v>3296</v>
      </c>
      <c r="F6" s="5">
        <f>Acapulco!C41</f>
        <v>3024766.864</v>
      </c>
      <c r="G6" s="5">
        <f>Acapulco!N19</f>
        <v>27061919</v>
      </c>
      <c r="H6" s="6">
        <f>Acapulco!C38</f>
        <v>0</v>
      </c>
      <c r="I6" s="5">
        <f>Acapulco!C45</f>
        <v>9819504.004</v>
      </c>
      <c r="J6" s="5">
        <f>Acapulco!C46</f>
        <v>2967232.095</v>
      </c>
      <c r="K6" s="5">
        <f>Acapulco!C47</f>
        <v>2090144.79</v>
      </c>
      <c r="L6" s="7">
        <f>Acapulco!C48</f>
        <v>4762127.119</v>
      </c>
      <c r="M6" s="8">
        <f>Acapulco!C49</f>
        <v>0.3628532036</v>
      </c>
      <c r="N6" s="8">
        <f>Acapulco!C50</f>
        <v>0.1759715237</v>
      </c>
      <c r="O6" s="9">
        <f>Acapulco!C31</f>
        <v>1.001</v>
      </c>
      <c r="P6" s="8">
        <f>Acapulco!C51</f>
        <v>0.1431630958</v>
      </c>
      <c r="Q6" s="8">
        <f>Acapulco!C52</f>
        <v>0.07198513892</v>
      </c>
    </row>
    <row r="7" ht="14.25" customHeight="1">
      <c r="B7" s="4" t="s">
        <v>20</v>
      </c>
      <c r="C7" s="5">
        <f>Acapulco!D26</f>
        <v>839.45</v>
      </c>
      <c r="D7" s="5">
        <f>Acapulco!D28</f>
        <v>1648</v>
      </c>
      <c r="E7" s="5">
        <f>Acapulco!D29</f>
        <v>3296</v>
      </c>
      <c r="F7" s="5">
        <f>Acapulco!D41</f>
        <v>1569308.124</v>
      </c>
      <c r="G7" s="5">
        <f>Acapulco!N19</f>
        <v>27061919</v>
      </c>
      <c r="H7" s="6">
        <f>Acapulco!C38</f>
        <v>0</v>
      </c>
      <c r="I7" s="5">
        <f>Acapulco!D45</f>
        <v>7285068.575</v>
      </c>
      <c r="J7" s="5">
        <f>Acapulco!D46</f>
        <v>1539495.193</v>
      </c>
      <c r="K7" s="5">
        <f>Acapulco!D47</f>
        <v>2090144.79</v>
      </c>
      <c r="L7" s="7">
        <f>Acapulco!D48</f>
        <v>3655428.591</v>
      </c>
      <c r="M7" s="8">
        <f>Acapulco!D49</f>
        <v>0.2691999993</v>
      </c>
      <c r="N7" s="8">
        <f>Acapulco!D50</f>
        <v>0.1350764737</v>
      </c>
      <c r="O7" s="9">
        <f>Acapulco!D31</f>
        <v>0.981</v>
      </c>
      <c r="P7" s="8">
        <f>Acapulco!D51</f>
        <v>0.1431683643</v>
      </c>
      <c r="Q7" s="8">
        <f>Acapulco!D52</f>
        <v>0.07198513892</v>
      </c>
    </row>
    <row r="8" ht="14.25" customHeight="1">
      <c r="A8" s="3" t="s">
        <v>22</v>
      </c>
      <c r="B8" s="4" t="s">
        <v>19</v>
      </c>
      <c r="C8" s="5">
        <f>'Cancún'!C26</f>
        <v>1100</v>
      </c>
      <c r="D8" s="5">
        <f>'Cancún'!C28</f>
        <v>981</v>
      </c>
      <c r="E8" s="5">
        <f>'Cancún'!C29</f>
        <v>1962</v>
      </c>
      <c r="F8" s="5">
        <f>'Cancún'!C41</f>
        <v>1649771.2</v>
      </c>
      <c r="G8" s="5">
        <f>'Cancún'!N19</f>
        <v>15152838</v>
      </c>
      <c r="H8" s="6">
        <f>'Cancún'!C38</f>
        <v>0</v>
      </c>
      <c r="I8" s="5">
        <f>'Cancún'!C45</f>
        <v>6277408.339</v>
      </c>
      <c r="J8" s="5">
        <f>'Cancún'!C46</f>
        <v>2017227.245</v>
      </c>
      <c r="K8" s="5">
        <f>'Cancún'!C47</f>
        <v>1372048.816</v>
      </c>
      <c r="L8" s="7">
        <f>'Cancún'!C48</f>
        <v>2888132.277</v>
      </c>
      <c r="M8" s="8">
        <f>'Cancún'!C49</f>
        <v>0.414272781</v>
      </c>
      <c r="N8" s="8">
        <f>'Cancún'!C50</f>
        <v>0.1906000894</v>
      </c>
      <c r="O8" s="9">
        <f>'Cancún'!C31</f>
        <v>1.2476</v>
      </c>
      <c r="P8" s="8">
        <f>'Cancún'!C51</f>
        <v>0.1431576482</v>
      </c>
      <c r="Q8" s="8">
        <f>'Cancún'!C52</f>
        <v>0.09305573228</v>
      </c>
    </row>
    <row r="9" ht="14.25" customHeight="1">
      <c r="B9" s="4" t="s">
        <v>20</v>
      </c>
      <c r="C9" s="5">
        <f>'Cancún'!D26</f>
        <v>839.45</v>
      </c>
      <c r="D9" s="5">
        <f>'Cancún'!D28</f>
        <v>981</v>
      </c>
      <c r="E9" s="5">
        <f>'Cancún'!D29</f>
        <v>1962</v>
      </c>
      <c r="F9" s="5">
        <f>'Cancún'!D41</f>
        <v>1259000.394</v>
      </c>
      <c r="G9" s="5">
        <f>'Cancún'!N19</f>
        <v>15152838</v>
      </c>
      <c r="H9" s="6">
        <f>'Cancún'!C38</f>
        <v>0</v>
      </c>
      <c r="I9" s="5">
        <f>'Cancún'!D45</f>
        <v>5511210.982</v>
      </c>
      <c r="J9" s="5">
        <f>'Cancún'!D46</f>
        <v>1539383.45</v>
      </c>
      <c r="K9" s="5">
        <f>'Cancún'!D47</f>
        <v>1372048.816</v>
      </c>
      <c r="L9" s="7">
        <f>'Cancún'!D48</f>
        <v>2599778.715</v>
      </c>
      <c r="M9" s="8">
        <f>'Cancún'!D49</f>
        <v>0.3637081702</v>
      </c>
      <c r="N9" s="8">
        <f>'Cancún'!D50</f>
        <v>0.1715704157</v>
      </c>
      <c r="O9" s="9">
        <f>'Cancún'!D31</f>
        <v>1.2227</v>
      </c>
      <c r="P9" s="8">
        <f>'Cancún'!D51</f>
        <v>0.1431525519</v>
      </c>
      <c r="Q9" s="8">
        <f>'Cancún'!D52</f>
        <v>0.09305573228</v>
      </c>
    </row>
    <row r="10" ht="14.25" customHeight="1">
      <c r="A10" s="3" t="s">
        <v>23</v>
      </c>
      <c r="B10" s="4" t="s">
        <v>24</v>
      </c>
      <c r="C10" s="5">
        <f>Proplasa!C26</f>
        <v>3848.9</v>
      </c>
      <c r="D10" s="5">
        <f>Proplasa!C28</f>
        <v>11787</v>
      </c>
      <c r="E10" s="5">
        <f>Proplasa!C29</f>
        <v>23574</v>
      </c>
      <c r="F10" s="5">
        <f>Proplasa!C41</f>
        <v>6389820.615</v>
      </c>
      <c r="G10" s="5">
        <f>Proplasa!N19</f>
        <v>202250117</v>
      </c>
      <c r="H10" s="6">
        <f>Proplasa!C38</f>
        <v>57664105.66</v>
      </c>
      <c r="I10" s="5">
        <f>Proplasa!C45</f>
        <v>50181166.14</v>
      </c>
      <c r="J10" s="5">
        <f>Proplasa!C46</f>
        <v>7058195.852</v>
      </c>
      <c r="K10" s="5">
        <f>Proplasa!C47</f>
        <v>19088040.66</v>
      </c>
      <c r="L10" s="7">
        <f>Proplasa!C48</f>
        <v>24034929.63</v>
      </c>
      <c r="M10" s="8">
        <f>Proplasa!C49</f>
        <v>0.2481143986</v>
      </c>
      <c r="N10" s="8">
        <f>Proplasa!C50</f>
        <v>0.118837655</v>
      </c>
      <c r="O10" s="9">
        <f>Proplasa!C31</f>
        <v>1.1046</v>
      </c>
      <c r="P10" s="8">
        <f>Proplasa!C51</f>
        <v>0.1431551088</v>
      </c>
      <c r="Q10" s="8">
        <f>Proplasa!C52</f>
        <v>0.1258465874</v>
      </c>
    </row>
    <row r="11" ht="14.25" customHeight="1">
      <c r="B11" s="4" t="s">
        <v>25</v>
      </c>
      <c r="C11" s="5">
        <f>Proplasa!D26</f>
        <v>2518.35</v>
      </c>
      <c r="D11" s="5">
        <f>Proplasa!D28</f>
        <v>11787</v>
      </c>
      <c r="E11" s="5">
        <f>Proplasa!D29</f>
        <v>23574</v>
      </c>
      <c r="F11" s="5">
        <f>Proplasa!D41</f>
        <v>4180884.083</v>
      </c>
      <c r="G11" s="5">
        <f>Proplasa!N19</f>
        <v>202250117</v>
      </c>
      <c r="H11" s="6">
        <f>Proplasa!C38</f>
        <v>57664105.66</v>
      </c>
      <c r="I11" s="5">
        <f>Proplasa!D45</f>
        <v>46033330.81</v>
      </c>
      <c r="J11" s="5">
        <f>Proplasa!D46</f>
        <v>4618204.558</v>
      </c>
      <c r="K11" s="5">
        <f>Proplasa!D47</f>
        <v>19088040.66</v>
      </c>
      <c r="L11" s="7">
        <f>Proplasa!D48</f>
        <v>22327085.6</v>
      </c>
      <c r="M11" s="8">
        <f>Proplasa!D49</f>
        <v>0.2276059539</v>
      </c>
      <c r="N11" s="8">
        <f>Proplasa!D50</f>
        <v>0.1103934372</v>
      </c>
      <c r="O11" s="9">
        <f>Proplasa!D31</f>
        <v>1.1046</v>
      </c>
      <c r="P11" s="8">
        <f>Proplasa!D51</f>
        <v>0.1431551088</v>
      </c>
      <c r="Q11" s="8">
        <f>Proplasa!D52</f>
        <v>0.1258465874</v>
      </c>
    </row>
    <row r="12" ht="14.25" customHeight="1"/>
    <row r="13" ht="14.25" customHeight="1">
      <c r="A13" s="1" t="s">
        <v>26</v>
      </c>
      <c r="B13" s="3" t="s">
        <v>27</v>
      </c>
      <c r="C13" s="10">
        <f t="shared" ref="C13:L13" si="1">C4+C6+C8+C10</f>
        <v>11116.9</v>
      </c>
      <c r="D13" s="10">
        <f t="shared" si="1"/>
        <v>18116</v>
      </c>
      <c r="E13" s="10">
        <f t="shared" si="1"/>
        <v>36232</v>
      </c>
      <c r="F13" s="10">
        <f t="shared" si="1"/>
        <v>19179192.68</v>
      </c>
      <c r="G13" s="10">
        <f t="shared" si="1"/>
        <v>296606201</v>
      </c>
      <c r="H13" s="10">
        <f t="shared" si="1"/>
        <v>59313632.62</v>
      </c>
      <c r="I13" s="10">
        <f t="shared" si="1"/>
        <v>91646790.47</v>
      </c>
      <c r="J13" s="10">
        <f t="shared" si="1"/>
        <v>20386456.98</v>
      </c>
      <c r="K13" s="10">
        <f t="shared" si="1"/>
        <v>28228671.44</v>
      </c>
      <c r="L13" s="10">
        <f t="shared" si="1"/>
        <v>43031662.05</v>
      </c>
    </row>
    <row r="14" ht="14.25" customHeight="1">
      <c r="B14" s="3" t="s">
        <v>28</v>
      </c>
      <c r="C14" s="10">
        <f t="shared" ref="C14:L14" si="2">C5+C7+C9+C11</f>
        <v>5036.7</v>
      </c>
      <c r="D14" s="10">
        <f t="shared" si="2"/>
        <v>18116</v>
      </c>
      <c r="E14" s="10">
        <f t="shared" si="2"/>
        <v>36232</v>
      </c>
      <c r="F14" s="10">
        <f t="shared" si="2"/>
        <v>8506334.887</v>
      </c>
      <c r="G14" s="10">
        <f t="shared" si="2"/>
        <v>296606201</v>
      </c>
      <c r="H14" s="10">
        <f t="shared" si="2"/>
        <v>59313632.62</v>
      </c>
      <c r="I14" s="10">
        <f t="shared" si="2"/>
        <v>72822948.01</v>
      </c>
      <c r="J14" s="10">
        <f t="shared" si="2"/>
        <v>9236446.956</v>
      </c>
      <c r="K14" s="10">
        <f t="shared" si="2"/>
        <v>28228671.44</v>
      </c>
      <c r="L14" s="10">
        <f t="shared" si="2"/>
        <v>35357829.62</v>
      </c>
    </row>
    <row r="15" ht="14.25" customHeight="1"/>
    <row r="16" ht="14.25" customHeight="1">
      <c r="A16" s="4" t="s">
        <v>29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5" width="16.0"/>
    <col customWidth="1" min="6" max="26" width="8.71"/>
  </cols>
  <sheetData>
    <row r="1" ht="14.25" customHeight="1">
      <c r="A1" s="1" t="s">
        <v>30</v>
      </c>
    </row>
    <row r="2" ht="14.25" customHeight="1"/>
    <row r="3" ht="14.25" customHeight="1"/>
    <row r="4" ht="14.25" customHeight="1">
      <c r="A4" s="4" t="s">
        <v>31</v>
      </c>
      <c r="B4" s="11">
        <v>17.55</v>
      </c>
      <c r="C4" s="4" t="s">
        <v>32</v>
      </c>
    </row>
    <row r="5" ht="14.25" customHeight="1">
      <c r="A5" s="4" t="s">
        <v>33</v>
      </c>
      <c r="B5" s="12">
        <v>0.65</v>
      </c>
      <c r="C5" s="4" t="s">
        <v>34</v>
      </c>
    </row>
    <row r="6" ht="14.25" customHeight="1">
      <c r="A6" s="4" t="s">
        <v>35</v>
      </c>
      <c r="B6" s="12">
        <v>0.5</v>
      </c>
      <c r="C6" s="4" t="s">
        <v>34</v>
      </c>
    </row>
    <row r="7" ht="14.25" customHeight="1">
      <c r="A7" s="4" t="s">
        <v>36</v>
      </c>
      <c r="B7" s="12">
        <v>0.28</v>
      </c>
      <c r="C7" s="4" t="s">
        <v>37</v>
      </c>
    </row>
    <row r="8" ht="14.25" customHeight="1">
      <c r="A8" s="4" t="s">
        <v>38</v>
      </c>
      <c r="B8" s="12">
        <v>0.18</v>
      </c>
      <c r="C8" s="4" t="s">
        <v>37</v>
      </c>
    </row>
    <row r="9" ht="14.25" customHeight="1">
      <c r="A9" s="4" t="s">
        <v>39</v>
      </c>
      <c r="B9" s="13">
        <v>0.04</v>
      </c>
      <c r="C9" s="4" t="s">
        <v>40</v>
      </c>
    </row>
    <row r="10" ht="14.25" customHeight="1">
      <c r="A10" s="4" t="s">
        <v>41</v>
      </c>
      <c r="B10" s="13">
        <v>0.04</v>
      </c>
      <c r="C10" s="4" t="s">
        <v>40</v>
      </c>
    </row>
    <row r="11" ht="14.25" customHeight="1">
      <c r="A11" s="4" t="s">
        <v>42</v>
      </c>
      <c r="B11" s="13">
        <v>0.005</v>
      </c>
      <c r="C11" s="4" t="s">
        <v>40</v>
      </c>
    </row>
    <row r="12" ht="14.25" customHeight="1">
      <c r="A12" s="4" t="s">
        <v>43</v>
      </c>
      <c r="B12" s="13">
        <v>0.0125</v>
      </c>
      <c r="C12" s="4" t="s">
        <v>40</v>
      </c>
    </row>
    <row r="13" ht="14.25" customHeight="1">
      <c r="A13" s="4" t="s">
        <v>44</v>
      </c>
      <c r="B13" s="13">
        <v>0.96</v>
      </c>
    </row>
    <row r="14" ht="14.25" customHeight="1">
      <c r="A14" s="4" t="s">
        <v>45</v>
      </c>
      <c r="B14" s="13">
        <v>0.96</v>
      </c>
    </row>
    <row r="15" ht="14.25" customHeight="1">
      <c r="A15" s="4" t="s">
        <v>46</v>
      </c>
      <c r="B15" s="14">
        <v>0.57</v>
      </c>
    </row>
    <row r="16" ht="14.25" customHeight="1">
      <c r="A16" s="4" t="s">
        <v>47</v>
      </c>
      <c r="B16" s="15">
        <v>2.0</v>
      </c>
      <c r="C16" s="4" t="s">
        <v>48</v>
      </c>
    </row>
    <row r="17" ht="14.25" customHeight="1">
      <c r="A17" s="4" t="s">
        <v>49</v>
      </c>
      <c r="B17" s="13">
        <v>0.5</v>
      </c>
      <c r="C17" s="4" t="s">
        <v>40</v>
      </c>
    </row>
    <row r="18" ht="14.25" customHeight="1">
      <c r="A18" s="3" t="s">
        <v>50</v>
      </c>
      <c r="B18" s="15">
        <v>15.0</v>
      </c>
      <c r="C18" s="4" t="s">
        <v>51</v>
      </c>
    </row>
    <row r="19" ht="14.25" customHeight="1">
      <c r="A19" s="3" t="s">
        <v>52</v>
      </c>
      <c r="B19" s="15">
        <v>15.0</v>
      </c>
      <c r="C19" s="4" t="s">
        <v>51</v>
      </c>
    </row>
    <row r="20" ht="14.25" customHeight="1">
      <c r="A20" s="4" t="s">
        <v>53</v>
      </c>
      <c r="B20" s="15">
        <v>20.0</v>
      </c>
      <c r="C20" s="4" t="s">
        <v>51</v>
      </c>
    </row>
    <row r="21" ht="14.25" customHeight="1">
      <c r="A21" s="4" t="s">
        <v>54</v>
      </c>
      <c r="B21" s="13">
        <v>0.12</v>
      </c>
      <c r="C21" s="4" t="s">
        <v>40</v>
      </c>
    </row>
    <row r="22" ht="14.25" customHeight="1">
      <c r="A22" s="4" t="s">
        <v>55</v>
      </c>
      <c r="B22" s="16">
        <v>310.0</v>
      </c>
      <c r="C22" s="4" t="s">
        <v>56</v>
      </c>
    </row>
    <row r="23" ht="14.25" customHeight="1">
      <c r="A23" s="4" t="s">
        <v>57</v>
      </c>
      <c r="B23" s="16">
        <v>180.0</v>
      </c>
      <c r="C23" s="4" t="s">
        <v>58</v>
      </c>
    </row>
    <row r="24" ht="14.25" customHeight="1">
      <c r="A24" s="4" t="s">
        <v>59</v>
      </c>
      <c r="B24" s="17">
        <v>4.0</v>
      </c>
      <c r="C24" s="4" t="s">
        <v>60</v>
      </c>
    </row>
    <row r="25" ht="14.25" customHeight="1">
      <c r="A25" s="3" t="s">
        <v>61</v>
      </c>
      <c r="B25" s="15">
        <v>2026.0</v>
      </c>
      <c r="C25" s="4" t="s">
        <v>62</v>
      </c>
    </row>
    <row r="26" ht="14.25" customHeight="1">
      <c r="A26" s="3" t="s">
        <v>63</v>
      </c>
      <c r="B26" s="15">
        <v>2032.0</v>
      </c>
      <c r="C26" s="4" t="s">
        <v>62</v>
      </c>
    </row>
    <row r="27" ht="14.25" customHeight="1"/>
    <row r="28" ht="14.25" customHeight="1"/>
    <row r="29" ht="14.25" customHeight="1">
      <c r="A29" s="1" t="s">
        <v>64</v>
      </c>
    </row>
    <row r="30" ht="14.25" customHeight="1">
      <c r="A30" s="18" t="s">
        <v>1</v>
      </c>
      <c r="B30" s="18" t="s">
        <v>65</v>
      </c>
      <c r="C30" s="18" t="s">
        <v>66</v>
      </c>
      <c r="D30" s="18" t="s">
        <v>67</v>
      </c>
      <c r="E30" s="18" t="s">
        <v>68</v>
      </c>
    </row>
    <row r="31" ht="14.25" customHeight="1">
      <c r="A31" s="4" t="s">
        <v>1</v>
      </c>
      <c r="B31" s="4" t="s">
        <v>65</v>
      </c>
      <c r="C31" s="4" t="s">
        <v>66</v>
      </c>
      <c r="D31" s="4" t="s">
        <v>67</v>
      </c>
      <c r="E31" s="4" t="s">
        <v>68</v>
      </c>
    </row>
    <row r="32" ht="14.25" customHeight="1">
      <c r="A32" s="4" t="s">
        <v>18</v>
      </c>
      <c r="B32" s="4" t="s">
        <v>69</v>
      </c>
      <c r="C32" s="4" t="s">
        <v>70</v>
      </c>
      <c r="D32" s="4">
        <v>1783.0</v>
      </c>
      <c r="E32" s="4">
        <v>25308.0</v>
      </c>
    </row>
    <row r="33" ht="14.25" customHeight="1">
      <c r="A33" s="4" t="s">
        <v>21</v>
      </c>
      <c r="B33" s="4" t="s">
        <v>71</v>
      </c>
      <c r="C33" s="4" t="s">
        <v>72</v>
      </c>
      <c r="D33" s="4">
        <v>1869.0</v>
      </c>
      <c r="E33" s="4">
        <v>7019.0</v>
      </c>
    </row>
    <row r="34" ht="14.25" customHeight="1">
      <c r="A34" s="4" t="s">
        <v>22</v>
      </c>
      <c r="B34" s="4" t="s">
        <v>73</v>
      </c>
      <c r="C34" s="4" t="s">
        <v>74</v>
      </c>
      <c r="D34" s="4">
        <v>1500.0</v>
      </c>
      <c r="E34" s="4">
        <v>6828.0</v>
      </c>
    </row>
    <row r="35" ht="14.25" customHeight="1">
      <c r="A35" s="4" t="s">
        <v>23</v>
      </c>
      <c r="B35" s="4" t="s">
        <v>75</v>
      </c>
      <c r="C35" s="4" t="s">
        <v>76</v>
      </c>
      <c r="D35" s="4">
        <v>1660.0</v>
      </c>
      <c r="E35" s="4">
        <v>15396.0</v>
      </c>
    </row>
    <row r="36" ht="14.25" customHeight="1"/>
    <row r="37" ht="14.25" customHeight="1"/>
    <row r="38" ht="14.25" customHeight="1">
      <c r="A38" s="1" t="s">
        <v>77</v>
      </c>
    </row>
    <row r="39" ht="14.25" customHeight="1">
      <c r="A39" s="4" t="s">
        <v>78</v>
      </c>
    </row>
    <row r="40" ht="14.25" customHeight="1">
      <c r="A40" s="4" t="s">
        <v>79</v>
      </c>
    </row>
    <row r="41" ht="14.25" customHeight="1">
      <c r="A41" s="4" t="s">
        <v>80</v>
      </c>
    </row>
    <row r="42" ht="14.25" customHeight="1">
      <c r="A42" s="4" t="s">
        <v>81</v>
      </c>
    </row>
    <row r="43" ht="14.25" customHeight="1">
      <c r="A43" s="4" t="s">
        <v>82</v>
      </c>
    </row>
    <row r="44" ht="14.25" customHeight="1">
      <c r="A44" s="4" t="s">
        <v>83</v>
      </c>
    </row>
    <row r="45" ht="14.25" customHeight="1">
      <c r="A45" s="4" t="s">
        <v>84</v>
      </c>
    </row>
    <row r="46" ht="14.25" customHeight="1">
      <c r="A46" s="4" t="s">
        <v>85</v>
      </c>
    </row>
    <row r="47" ht="14.25" customHeight="1">
      <c r="A47" s="4" t="s">
        <v>86</v>
      </c>
    </row>
    <row r="48" ht="14.25" customHeight="1">
      <c r="A48" s="4" t="s">
        <v>87</v>
      </c>
    </row>
    <row r="49" ht="14.25" customHeight="1">
      <c r="A49" s="4" t="s">
        <v>88</v>
      </c>
    </row>
    <row r="50" ht="14.25" customHeight="1">
      <c r="A50" s="4" t="s">
        <v>89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0.0"/>
    <col customWidth="1" min="2" max="4" width="14.0"/>
    <col customWidth="1" min="5" max="5" width="20.86"/>
    <col customWidth="1" min="6" max="12" width="14.0"/>
    <col customWidth="1" min="13" max="13" width="15.86"/>
    <col customWidth="1" min="14" max="14" width="21.29"/>
    <col customWidth="1" min="15" max="15" width="18.86"/>
    <col customWidth="1" min="16" max="16" width="21.0"/>
    <col customWidth="1" min="17" max="17" width="17.71"/>
    <col customWidth="1" min="18" max="18" width="18.71"/>
    <col customWidth="1" min="19" max="26" width="8.71"/>
  </cols>
  <sheetData>
    <row r="1" ht="14.25" customHeight="1">
      <c r="A1" s="1" t="s">
        <v>90</v>
      </c>
    </row>
    <row r="2" ht="14.25" customHeight="1"/>
    <row r="3" ht="14.25" customHeight="1">
      <c r="A3" s="1" t="s">
        <v>91</v>
      </c>
    </row>
    <row r="4" ht="14.25" customHeight="1">
      <c r="A4" s="18" t="s">
        <v>92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98</v>
      </c>
      <c r="H4" s="2" t="s">
        <v>99</v>
      </c>
      <c r="I4" s="2" t="s">
        <v>100</v>
      </c>
      <c r="J4" s="2" t="s">
        <v>101</v>
      </c>
      <c r="K4" s="2" t="s">
        <v>102</v>
      </c>
      <c r="L4" s="2" t="s">
        <v>103</v>
      </c>
      <c r="M4" s="2" t="s">
        <v>104</v>
      </c>
      <c r="N4" s="18" t="s">
        <v>105</v>
      </c>
    </row>
    <row r="5" ht="14.25" customHeight="1">
      <c r="A5" s="4" t="s">
        <v>106</v>
      </c>
      <c r="B5" s="5">
        <v>664426.0</v>
      </c>
      <c r="C5" s="5">
        <v>630738.0</v>
      </c>
      <c r="D5" s="5">
        <v>534017.0</v>
      </c>
      <c r="E5" s="5">
        <v>701321.0</v>
      </c>
      <c r="F5" s="5">
        <v>593175.0</v>
      </c>
      <c r="G5" s="5">
        <v>641906.0</v>
      </c>
      <c r="H5" s="5">
        <v>719936.0</v>
      </c>
      <c r="I5" s="5">
        <v>704647.0</v>
      </c>
      <c r="J5" s="5">
        <v>591649.0</v>
      </c>
      <c r="K5" s="5">
        <v>449327.0</v>
      </c>
      <c r="L5" s="5">
        <v>725263.0</v>
      </c>
      <c r="M5" s="5">
        <v>574838.0</v>
      </c>
      <c r="N5" s="10">
        <f t="shared" ref="N5:N8" si="1">SUM(B5:M5)</f>
        <v>7531243</v>
      </c>
    </row>
    <row r="6" ht="14.25" customHeight="1">
      <c r="A6" s="4" t="s">
        <v>107</v>
      </c>
      <c r="B6" s="5">
        <v>1271980.0</v>
      </c>
      <c r="C6" s="5">
        <v>1133752.0</v>
      </c>
      <c r="D6" s="5">
        <v>1146833.0</v>
      </c>
      <c r="E6" s="5">
        <v>1065260.0</v>
      </c>
      <c r="F6" s="5">
        <v>941250.0</v>
      </c>
      <c r="G6" s="5">
        <v>1065460.0</v>
      </c>
      <c r="H6" s="5">
        <v>965437.0</v>
      </c>
      <c r="I6" s="5">
        <v>1049782.0</v>
      </c>
      <c r="J6" s="5">
        <v>969708.0</v>
      </c>
      <c r="K6" s="5">
        <v>811294.0</v>
      </c>
      <c r="L6" s="5">
        <v>1035362.0</v>
      </c>
      <c r="M6" s="5">
        <v>1202190.0</v>
      </c>
      <c r="N6" s="10">
        <f t="shared" si="1"/>
        <v>12658308</v>
      </c>
    </row>
    <row r="7" ht="14.25" customHeight="1">
      <c r="A7" s="4" t="s">
        <v>108</v>
      </c>
      <c r="B7" s="5">
        <v>118279.0</v>
      </c>
      <c r="C7" s="5">
        <v>116822.0</v>
      </c>
      <c r="D7" s="5">
        <v>122085.0</v>
      </c>
      <c r="E7" s="5">
        <v>176568.0</v>
      </c>
      <c r="F7" s="5">
        <v>167798.0</v>
      </c>
      <c r="G7" s="5">
        <v>218540.0</v>
      </c>
      <c r="H7" s="5">
        <v>254095.0</v>
      </c>
      <c r="I7" s="5">
        <v>282952.0</v>
      </c>
      <c r="J7" s="5">
        <v>268637.0</v>
      </c>
      <c r="K7" s="5">
        <v>148414.0</v>
      </c>
      <c r="L7" s="5">
        <v>178884.0</v>
      </c>
      <c r="M7" s="5">
        <v>135622.0</v>
      </c>
      <c r="N7" s="10">
        <f t="shared" si="1"/>
        <v>2188696</v>
      </c>
    </row>
    <row r="8" ht="14.25" customHeight="1">
      <c r="A8" s="4" t="s">
        <v>109</v>
      </c>
      <c r="B8" s="5">
        <f t="shared" ref="B8:M8" si="2">SUM(B5:B7)</f>
        <v>2054685</v>
      </c>
      <c r="C8" s="5">
        <f t="shared" si="2"/>
        <v>1881312</v>
      </c>
      <c r="D8" s="5">
        <f t="shared" si="2"/>
        <v>1802935</v>
      </c>
      <c r="E8" s="5">
        <f t="shared" si="2"/>
        <v>1943149</v>
      </c>
      <c r="F8" s="5">
        <f t="shared" si="2"/>
        <v>1702223</v>
      </c>
      <c r="G8" s="5">
        <f t="shared" si="2"/>
        <v>1925906</v>
      </c>
      <c r="H8" s="5">
        <f t="shared" si="2"/>
        <v>1939468</v>
      </c>
      <c r="I8" s="5">
        <f t="shared" si="2"/>
        <v>2037381</v>
      </c>
      <c r="J8" s="5">
        <f t="shared" si="2"/>
        <v>1829994</v>
      </c>
      <c r="K8" s="5">
        <f t="shared" si="2"/>
        <v>1409035</v>
      </c>
      <c r="L8" s="5">
        <f t="shared" si="2"/>
        <v>1939509</v>
      </c>
      <c r="M8" s="5">
        <f t="shared" si="2"/>
        <v>1912650</v>
      </c>
      <c r="N8" s="10">
        <f t="shared" si="1"/>
        <v>22378247</v>
      </c>
    </row>
    <row r="9" ht="14.25" customHeight="1">
      <c r="A9" s="4" t="s">
        <v>110</v>
      </c>
      <c r="B9" s="5">
        <v>2688.0</v>
      </c>
      <c r="C9" s="5">
        <v>2781.0</v>
      </c>
      <c r="D9" s="5">
        <v>2654.0</v>
      </c>
      <c r="E9" s="5">
        <v>4204.0</v>
      </c>
      <c r="F9" s="5">
        <v>3814.0</v>
      </c>
      <c r="G9" s="5">
        <v>4361.0</v>
      </c>
      <c r="H9" s="5">
        <v>3102.0</v>
      </c>
      <c r="I9" s="5">
        <v>3105.0</v>
      </c>
      <c r="J9" s="5">
        <v>3011.0</v>
      </c>
      <c r="K9" s="5">
        <v>1852.0</v>
      </c>
      <c r="L9" s="5">
        <v>2045.0</v>
      </c>
      <c r="M9" s="5">
        <v>2926.0</v>
      </c>
      <c r="N9" s="10">
        <f t="shared" ref="N9:N10" si="3">MAX(B9:M9)</f>
        <v>4361</v>
      </c>
    </row>
    <row r="10" ht="14.25" customHeight="1">
      <c r="A10" s="4" t="s">
        <v>111</v>
      </c>
      <c r="B10" s="5">
        <v>3011.0</v>
      </c>
      <c r="C10" s="5">
        <v>2799.0</v>
      </c>
      <c r="D10" s="5">
        <v>2655.0</v>
      </c>
      <c r="E10" s="5">
        <v>4204.0</v>
      </c>
      <c r="F10" s="5">
        <v>3814.0</v>
      </c>
      <c r="G10" s="5">
        <v>4361.0</v>
      </c>
      <c r="H10" s="5">
        <v>3714.0</v>
      </c>
      <c r="I10" s="5">
        <v>3760.0</v>
      </c>
      <c r="J10" s="5">
        <v>3128.0</v>
      </c>
      <c r="K10" s="5">
        <v>2589.0</v>
      </c>
      <c r="L10" s="5">
        <v>3687.0</v>
      </c>
      <c r="M10" s="5">
        <v>3138.0</v>
      </c>
      <c r="N10" s="10">
        <f t="shared" si="3"/>
        <v>4361</v>
      </c>
    </row>
    <row r="11" ht="14.25" customHeight="1">
      <c r="A11" s="4" t="s">
        <v>112</v>
      </c>
      <c r="B11" s="19">
        <v>22.0</v>
      </c>
      <c r="C11" s="19">
        <v>21.0</v>
      </c>
      <c r="D11" s="19">
        <v>23.0</v>
      </c>
      <c r="E11" s="19">
        <v>21.0</v>
      </c>
      <c r="F11" s="19">
        <v>22.0</v>
      </c>
      <c r="G11" s="19">
        <v>23.0</v>
      </c>
      <c r="H11" s="19">
        <v>25.0</v>
      </c>
      <c r="I11" s="19">
        <v>27.0</v>
      </c>
      <c r="J11" s="19">
        <v>27.0</v>
      </c>
      <c r="K11" s="19">
        <v>24.0</v>
      </c>
      <c r="L11" s="19">
        <v>26.0</v>
      </c>
      <c r="M11" s="19">
        <v>23.0</v>
      </c>
    </row>
    <row r="12" ht="14.25" customHeight="1">
      <c r="A12" s="4" t="s">
        <v>113</v>
      </c>
      <c r="B12" s="20">
        <v>2.0</v>
      </c>
      <c r="C12" s="20">
        <v>2.0</v>
      </c>
      <c r="D12" s="20">
        <v>2.0</v>
      </c>
      <c r="E12" s="20">
        <v>2.0</v>
      </c>
      <c r="F12" s="20">
        <v>2.0</v>
      </c>
      <c r="G12" s="20">
        <v>2.43</v>
      </c>
      <c r="H12" s="20">
        <v>3.6</v>
      </c>
      <c r="I12" s="20">
        <v>3.7</v>
      </c>
      <c r="J12" s="20">
        <v>3.63</v>
      </c>
      <c r="K12" s="20">
        <v>3.67</v>
      </c>
      <c r="L12" s="20">
        <v>3.69</v>
      </c>
      <c r="M12" s="20">
        <v>2.26</v>
      </c>
    </row>
    <row r="13" ht="14.25" customHeight="1">
      <c r="A13" s="4" t="s">
        <v>114</v>
      </c>
      <c r="B13" s="19">
        <v>31.0</v>
      </c>
      <c r="C13" s="19">
        <v>30.0</v>
      </c>
      <c r="D13" s="19">
        <v>31.0</v>
      </c>
      <c r="E13" s="19">
        <v>31.0</v>
      </c>
      <c r="F13" s="19">
        <v>30.0</v>
      </c>
      <c r="G13" s="19">
        <v>31.0</v>
      </c>
      <c r="H13" s="19">
        <v>30.0</v>
      </c>
      <c r="I13" s="19">
        <v>31.0</v>
      </c>
      <c r="J13" s="19">
        <v>31.0</v>
      </c>
      <c r="K13" s="19">
        <v>28.0</v>
      </c>
      <c r="L13" s="19">
        <v>31.0</v>
      </c>
      <c r="M13" s="19">
        <v>30.0</v>
      </c>
    </row>
    <row r="14" ht="14.25" customHeight="1">
      <c r="A14" s="4" t="s">
        <v>115</v>
      </c>
      <c r="B14" s="9">
        <v>1.1444</v>
      </c>
      <c r="C14" s="9">
        <v>1.1669</v>
      </c>
      <c r="D14" s="9">
        <v>1.1815</v>
      </c>
      <c r="E14" s="9">
        <v>1.1829</v>
      </c>
      <c r="F14" s="9">
        <v>1.178</v>
      </c>
      <c r="G14" s="9">
        <v>1.178</v>
      </c>
      <c r="H14" s="9">
        <v>1.1485</v>
      </c>
      <c r="I14" s="9">
        <v>1.101</v>
      </c>
      <c r="J14" s="9">
        <v>1.0776</v>
      </c>
      <c r="K14" s="9">
        <v>1.0781</v>
      </c>
      <c r="L14" s="9">
        <v>1.0786</v>
      </c>
      <c r="M14" s="9">
        <v>1.0786</v>
      </c>
    </row>
    <row r="15" ht="14.25" customHeight="1">
      <c r="A15" s="4" t="s">
        <v>116</v>
      </c>
      <c r="B15" s="9">
        <v>1.8911</v>
      </c>
      <c r="C15" s="9">
        <v>1.9314</v>
      </c>
      <c r="D15" s="9">
        <v>1.9575</v>
      </c>
      <c r="E15" s="9">
        <v>1.96</v>
      </c>
      <c r="F15" s="9">
        <v>1.9479</v>
      </c>
      <c r="G15" s="9">
        <v>1.9479</v>
      </c>
      <c r="H15" s="9">
        <v>1.8954</v>
      </c>
      <c r="I15" s="9">
        <v>1.8105</v>
      </c>
      <c r="J15" s="9">
        <v>1.7711</v>
      </c>
      <c r="K15" s="9">
        <v>1.772</v>
      </c>
      <c r="L15" s="9">
        <v>1.773</v>
      </c>
      <c r="M15" s="9">
        <v>1.7729</v>
      </c>
    </row>
    <row r="16" ht="14.25" customHeight="1">
      <c r="A16" s="4" t="s">
        <v>117</v>
      </c>
      <c r="B16" s="9">
        <v>2.2374</v>
      </c>
      <c r="C16" s="9">
        <v>2.2859</v>
      </c>
      <c r="D16" s="9">
        <v>2.3173</v>
      </c>
      <c r="E16" s="9">
        <v>2.3203</v>
      </c>
      <c r="F16" s="9">
        <v>2.3049</v>
      </c>
      <c r="G16" s="9">
        <v>2.3049</v>
      </c>
      <c r="H16" s="9">
        <v>2.2417</v>
      </c>
      <c r="I16" s="9">
        <v>2.1395</v>
      </c>
      <c r="J16" s="9">
        <v>2.0927</v>
      </c>
      <c r="K16" s="9">
        <v>2.0938</v>
      </c>
      <c r="L16" s="9">
        <v>2.0949</v>
      </c>
      <c r="M16" s="9">
        <v>2.0948</v>
      </c>
    </row>
    <row r="17" ht="14.25" customHeight="1">
      <c r="A17" s="4" t="s">
        <v>118</v>
      </c>
      <c r="B17" s="21">
        <v>432.62</v>
      </c>
      <c r="C17" s="21">
        <v>442.9</v>
      </c>
      <c r="D17" s="21">
        <v>449.54</v>
      </c>
      <c r="E17" s="21">
        <v>450.17</v>
      </c>
      <c r="F17" s="21">
        <v>446.05</v>
      </c>
      <c r="G17" s="21">
        <v>446.06</v>
      </c>
      <c r="H17" s="21">
        <v>432.66</v>
      </c>
      <c r="I17" s="21">
        <v>411.03</v>
      </c>
      <c r="J17" s="21">
        <v>401.78</v>
      </c>
      <c r="K17" s="21">
        <v>402.0</v>
      </c>
      <c r="L17" s="21">
        <v>402.26</v>
      </c>
      <c r="M17" s="21">
        <v>402.24</v>
      </c>
    </row>
    <row r="18" ht="14.25" customHeight="1">
      <c r="A18" s="4" t="s">
        <v>119</v>
      </c>
      <c r="B18" s="21">
        <v>0.0</v>
      </c>
      <c r="C18" s="21">
        <v>0.0</v>
      </c>
      <c r="D18" s="21">
        <v>0.0</v>
      </c>
      <c r="E18" s="21">
        <v>0.0</v>
      </c>
      <c r="F18" s="21">
        <v>0.0</v>
      </c>
      <c r="G18" s="21">
        <v>0.0</v>
      </c>
      <c r="H18" s="21">
        <v>0.0</v>
      </c>
      <c r="I18" s="21">
        <v>0.0</v>
      </c>
      <c r="J18" s="21">
        <v>0.0</v>
      </c>
      <c r="K18" s="21">
        <v>0.0</v>
      </c>
      <c r="L18" s="21">
        <v>0.0</v>
      </c>
      <c r="M18" s="21">
        <v>0.0</v>
      </c>
      <c r="O18" s="3" t="s">
        <v>120</v>
      </c>
    </row>
    <row r="19" ht="14.25" customHeight="1">
      <c r="A19" s="4" t="s">
        <v>121</v>
      </c>
      <c r="B19" s="5">
        <v>4462726.0</v>
      </c>
      <c r="C19" s="5">
        <v>4700643.0</v>
      </c>
      <c r="D19" s="5">
        <v>4627503.0</v>
      </c>
      <c r="E19" s="5">
        <v>4932162.0</v>
      </c>
      <c r="F19" s="5">
        <v>4336535.0</v>
      </c>
      <c r="G19" s="5">
        <v>4904162.0</v>
      </c>
      <c r="H19" s="5">
        <v>4836407.0</v>
      </c>
      <c r="I19" s="5">
        <v>4353098.0</v>
      </c>
      <c r="J19" s="5">
        <v>3828426.0</v>
      </c>
      <c r="K19" s="5">
        <v>3026757.0</v>
      </c>
      <c r="L19" s="5">
        <v>3987520.0</v>
      </c>
      <c r="M19" s="5">
        <v>4145388.0</v>
      </c>
      <c r="N19" s="10">
        <f>SUM(B19:M19)</f>
        <v>52141327</v>
      </c>
      <c r="O19" s="4" t="s">
        <v>122</v>
      </c>
    </row>
    <row r="20" ht="14.25" customHeight="1">
      <c r="A20" s="4" t="s">
        <v>123</v>
      </c>
      <c r="B20" s="5">
        <f t="shared" ref="B20:M20" si="4">B8/(24*B13*$O$20)</f>
        <v>3731.991064</v>
      </c>
      <c r="C20" s="5">
        <f t="shared" si="4"/>
        <v>3530.990991</v>
      </c>
      <c r="D20" s="5">
        <f t="shared" si="4"/>
        <v>3274.729366</v>
      </c>
      <c r="E20" s="5">
        <f t="shared" si="4"/>
        <v>3529.404606</v>
      </c>
      <c r="F20" s="5">
        <f t="shared" si="4"/>
        <v>3194.862988</v>
      </c>
      <c r="G20" s="5">
        <f t="shared" si="4"/>
        <v>3498.085586</v>
      </c>
      <c r="H20" s="5">
        <f t="shared" si="4"/>
        <v>3640.142643</v>
      </c>
      <c r="I20" s="5">
        <f t="shared" si="4"/>
        <v>3700.561247</v>
      </c>
      <c r="J20" s="5">
        <f t="shared" si="4"/>
        <v>3323.877507</v>
      </c>
      <c r="K20" s="5">
        <f t="shared" si="4"/>
        <v>2833.484154</v>
      </c>
      <c r="L20" s="5">
        <f t="shared" si="4"/>
        <v>3522.793156</v>
      </c>
      <c r="M20" s="5">
        <f t="shared" si="4"/>
        <v>3589.808559</v>
      </c>
      <c r="O20" s="22">
        <v>0.74</v>
      </c>
    </row>
    <row r="21" ht="14.25" customHeight="1">
      <c r="A21" s="4" t="s">
        <v>124</v>
      </c>
      <c r="B21" s="23">
        <v>162.688</v>
      </c>
      <c r="C21" s="23">
        <v>148.08</v>
      </c>
      <c r="D21" s="23">
        <v>138.632</v>
      </c>
      <c r="E21" s="23">
        <v>131.688</v>
      </c>
      <c r="F21" s="23">
        <v>126.72</v>
      </c>
      <c r="G21" s="23">
        <v>146.816</v>
      </c>
      <c r="H21" s="23">
        <v>151.92</v>
      </c>
      <c r="I21" s="23">
        <v>138.384</v>
      </c>
      <c r="J21" s="23">
        <v>147.064</v>
      </c>
      <c r="K21" s="23">
        <v>142.464</v>
      </c>
      <c r="L21" s="23">
        <v>180.544</v>
      </c>
      <c r="M21" s="23">
        <v>168.48</v>
      </c>
      <c r="N21" s="24">
        <f>SUM(B21:M21)</f>
        <v>1783.48</v>
      </c>
    </row>
    <row r="22" ht="14.25" customHeight="1"/>
    <row r="23" ht="14.25" customHeight="1">
      <c r="A23" s="1" t="s">
        <v>125</v>
      </c>
    </row>
    <row r="24" ht="14.25" customHeight="1">
      <c r="A24" s="18" t="s">
        <v>126</v>
      </c>
      <c r="C24" s="2" t="s">
        <v>127</v>
      </c>
      <c r="D24" s="2" t="s">
        <v>128</v>
      </c>
    </row>
    <row r="25" ht="14.25" customHeight="1">
      <c r="A25" s="4" t="s">
        <v>129</v>
      </c>
      <c r="C25" s="4" t="s">
        <v>130</v>
      </c>
      <c r="D25" s="4" t="s">
        <v>131</v>
      </c>
    </row>
    <row r="26" ht="14.25" customHeight="1">
      <c r="A26" s="4" t="s">
        <v>132</v>
      </c>
      <c r="C26" s="25">
        <v>4550.0</v>
      </c>
      <c r="D26" s="25">
        <v>839.45</v>
      </c>
    </row>
    <row r="27" ht="14.25" customHeight="1">
      <c r="A27" s="4" t="s">
        <v>133</v>
      </c>
      <c r="C27" s="5">
        <f>C26*Supuestos!$B$24</f>
        <v>18200</v>
      </c>
      <c r="D27" s="5">
        <f>D26*Supuestos!$B$24</f>
        <v>3357.8</v>
      </c>
    </row>
    <row r="28" ht="14.25" customHeight="1">
      <c r="A28" s="4" t="s">
        <v>134</v>
      </c>
      <c r="C28" s="25">
        <v>3700.0</v>
      </c>
      <c r="D28" s="25">
        <v>3700.0</v>
      </c>
    </row>
    <row r="29" ht="14.25" customHeight="1">
      <c r="A29" s="4" t="s">
        <v>135</v>
      </c>
      <c r="C29" s="25">
        <v>7400.0</v>
      </c>
      <c r="D29" s="25">
        <v>7400.0</v>
      </c>
    </row>
    <row r="30" ht="14.25" customHeight="1">
      <c r="A30" s="4" t="s">
        <v>136</v>
      </c>
      <c r="C30" s="5">
        <f>C29*Supuestos!$B$13*SQRT(Supuestos!$B$14)</f>
        <v>6960.470053</v>
      </c>
      <c r="D30" s="5">
        <f>D29*Supuestos!$B$13*SQRT(Supuestos!$B$14)</f>
        <v>6960.470053</v>
      </c>
    </row>
    <row r="31" ht="14.25" customHeight="1">
      <c r="A31" s="4" t="s">
        <v>137</v>
      </c>
      <c r="C31" s="26">
        <v>1.2848231335189202</v>
      </c>
      <c r="D31" s="26">
        <v>1.5031641919050658</v>
      </c>
    </row>
    <row r="32" ht="14.25" customHeight="1">
      <c r="A32" s="4" t="s">
        <v>138</v>
      </c>
      <c r="C32" s="8">
        <f>Supuestos!$B$17</f>
        <v>0.5</v>
      </c>
      <c r="D32" s="8">
        <f>Supuestos!$B$17</f>
        <v>0.5</v>
      </c>
    </row>
    <row r="33" ht="14.25" customHeight="1">
      <c r="A33" s="4" t="s">
        <v>139</v>
      </c>
      <c r="C33" s="5">
        <f>C26*1000*Supuestos!$B$5</f>
        <v>2957500</v>
      </c>
      <c r="D33" s="5">
        <f>D26*1000*Supuestos!$B$5</f>
        <v>545642.5</v>
      </c>
    </row>
    <row r="34" ht="14.25" customHeight="1">
      <c r="A34" s="4" t="s">
        <v>140</v>
      </c>
      <c r="C34" s="5">
        <f>C33*Supuestos!$B$4</f>
        <v>51904125</v>
      </c>
      <c r="D34" s="5">
        <f>D33*Supuestos!$B$4</f>
        <v>9576025.875</v>
      </c>
    </row>
    <row r="35" ht="14.25" customHeight="1">
      <c r="A35" s="4" t="s">
        <v>141</v>
      </c>
      <c r="C35" s="5">
        <f>C29*1000*Supuestos!$B$7</f>
        <v>2072000</v>
      </c>
      <c r="D35" s="5">
        <f>D29*1000*Supuestos!$B$7</f>
        <v>2072000</v>
      </c>
    </row>
    <row r="36" ht="14.25" customHeight="1">
      <c r="A36" s="4" t="s">
        <v>142</v>
      </c>
      <c r="C36" s="5">
        <f>C35*Supuestos!$B$4</f>
        <v>36363600</v>
      </c>
      <c r="D36" s="5">
        <f>D35*Supuestos!$B$4</f>
        <v>36363600</v>
      </c>
    </row>
    <row r="37" ht="14.25" customHeight="1">
      <c r="A37" s="27" t="s">
        <v>143</v>
      </c>
      <c r="B37" s="28"/>
      <c r="C37" s="28"/>
      <c r="D37" s="28"/>
    </row>
    <row r="38" ht="14.25" customHeight="1">
      <c r="A38" s="4" t="s">
        <v>144</v>
      </c>
      <c r="C38" s="25">
        <v>1649526.96</v>
      </c>
      <c r="D38" s="5">
        <f>C38</f>
        <v>1649526.96</v>
      </c>
    </row>
    <row r="39" ht="14.25" customHeight="1">
      <c r="A39" s="4" t="s">
        <v>145</v>
      </c>
      <c r="C39" s="25">
        <f t="shared" ref="C39:D39" si="5">$N$19+C38</f>
        <v>53790853.96</v>
      </c>
      <c r="D39" s="25">
        <f t="shared" si="5"/>
        <v>53790853.96</v>
      </c>
    </row>
    <row r="40" ht="14.25" customHeight="1">
      <c r="A40" s="4" t="s">
        <v>146</v>
      </c>
      <c r="C40" s="5">
        <f t="shared" ref="C40:D40" si="6">C39-C38</f>
        <v>52141327</v>
      </c>
      <c r="D40" s="5">
        <f t="shared" si="6"/>
        <v>52141327</v>
      </c>
    </row>
    <row r="41" ht="14.25" customHeight="1">
      <c r="A41" s="4" t="s">
        <v>147</v>
      </c>
      <c r="C41" s="5">
        <f>C72</f>
        <v>8114834</v>
      </c>
      <c r="D41" s="5">
        <f>C89</f>
        <v>1497142.286</v>
      </c>
    </row>
    <row r="42" ht="14.25" customHeight="1">
      <c r="A42" s="4" t="s">
        <v>148</v>
      </c>
      <c r="C42" s="5">
        <f>K72</f>
        <v>7952536.973</v>
      </c>
      <c r="D42" s="5">
        <f>K89</f>
        <v>1497144.286</v>
      </c>
    </row>
    <row r="43" ht="14.25" customHeight="1">
      <c r="A43" s="4" t="s">
        <v>149</v>
      </c>
      <c r="C43" s="5">
        <f>M72</f>
        <v>14011837.64</v>
      </c>
      <c r="D43" s="5">
        <f>M89</f>
        <v>2636463.295</v>
      </c>
    </row>
    <row r="44" ht="14.25" customHeight="1">
      <c r="A44" s="4" t="s">
        <v>150</v>
      </c>
      <c r="C44" s="5">
        <f>R72*(12-Supuestos!$B$16)/12</f>
        <v>11356874.34</v>
      </c>
      <c r="D44" s="5">
        <f>R89*(12-Supuestos!$B$16)/12</f>
        <v>11356874.34</v>
      </c>
    </row>
    <row r="45" ht="14.25" customHeight="1">
      <c r="A45" s="3" t="s">
        <v>151</v>
      </c>
      <c r="C45" s="7">
        <f t="shared" ref="C45:D45" si="7">C43+C44</f>
        <v>25368711.99</v>
      </c>
      <c r="D45" s="7">
        <f t="shared" si="7"/>
        <v>13993337.64</v>
      </c>
    </row>
    <row r="46" ht="14.25" customHeight="1">
      <c r="A46" s="4" t="s">
        <v>152</v>
      </c>
      <c r="C46" s="5">
        <f t="shared" ref="C46:D46" si="8">C42*C31</f>
        <v>8343801.792</v>
      </c>
      <c r="D46" s="5">
        <f t="shared" si="8"/>
        <v>1539363.755</v>
      </c>
    </row>
    <row r="47" ht="14.25" customHeight="1">
      <c r="A47" s="4" t="s">
        <v>153</v>
      </c>
      <c r="C47" s="5">
        <f t="shared" ref="C47:D47" si="9">C44*C32</f>
        <v>5678437.172</v>
      </c>
      <c r="D47" s="5">
        <f t="shared" si="9"/>
        <v>5678437.172</v>
      </c>
    </row>
    <row r="48" ht="14.25" customHeight="1">
      <c r="A48" s="3" t="s">
        <v>154</v>
      </c>
      <c r="C48" s="7">
        <f t="shared" ref="C48:D48" si="10">C45-C46-C47</f>
        <v>11346473.02</v>
      </c>
      <c r="D48" s="7">
        <f t="shared" si="10"/>
        <v>6775536.712</v>
      </c>
    </row>
    <row r="49" ht="14.25" customHeight="1">
      <c r="A49" s="4" t="s">
        <v>155</v>
      </c>
      <c r="C49" s="8">
        <f t="shared" ref="C49:D49" si="11">C45/$N$19</f>
        <v>0.4865375211</v>
      </c>
      <c r="D49" s="8">
        <f t="shared" si="11"/>
        <v>0.2683732548</v>
      </c>
    </row>
    <row r="50" ht="14.25" customHeight="1">
      <c r="A50" s="4" t="s">
        <v>156</v>
      </c>
      <c r="C50" s="8">
        <f t="shared" ref="C50:D50" si="12">C48/$N$19</f>
        <v>0.217609978</v>
      </c>
      <c r="D50" s="8">
        <f t="shared" si="12"/>
        <v>0.1299456132</v>
      </c>
    </row>
    <row r="51" ht="14.25" customHeight="1">
      <c r="A51" s="4" t="s">
        <v>157</v>
      </c>
      <c r="C51" s="8">
        <f>IRR(M94:M114)</f>
        <v>0.1431528541</v>
      </c>
      <c r="D51" s="8">
        <f>IRR(M119:M139)</f>
        <v>0.1431497648</v>
      </c>
    </row>
    <row r="52" ht="14.25" customHeight="1">
      <c r="A52" s="4" t="s">
        <v>158</v>
      </c>
      <c r="C52" s="8">
        <f>IRR(N94:N114)</f>
        <v>0.113627705</v>
      </c>
      <c r="D52" s="8">
        <f>IRR(N119:N139)</f>
        <v>0.113627705</v>
      </c>
    </row>
    <row r="53" ht="14.25" customHeight="1">
      <c r="A53" s="4" t="s">
        <v>159</v>
      </c>
      <c r="C53" s="8">
        <v>0.5961</v>
      </c>
      <c r="D53" s="8">
        <v>0.5961</v>
      </c>
    </row>
    <row r="54" ht="14.25" customHeight="1">
      <c r="A54" s="4" t="s">
        <v>160</v>
      </c>
      <c r="C54" s="19">
        <f>COUNTIF(O94:O114,"&lt;0")</f>
        <v>7</v>
      </c>
      <c r="D54" s="19">
        <f>COUNTIF(O119:O139,"&lt;0")</f>
        <v>7</v>
      </c>
    </row>
    <row r="55" ht="14.25" customHeight="1">
      <c r="A55" s="4" t="s">
        <v>161</v>
      </c>
      <c r="C55" s="5">
        <f t="array" ref="C55">NPV(Supuestos!$B$21,J95:J114)</f>
        <v>128630382.1</v>
      </c>
      <c r="D55" s="5">
        <f t="array" ref="D55">NPV(Supuestos!$B$21,J120:J139)</f>
        <v>73644042.4</v>
      </c>
    </row>
    <row r="56" ht="14.25" customHeight="1"/>
    <row r="57" ht="14.25" customHeight="1"/>
    <row r="58" ht="14.25" customHeight="1">
      <c r="A58" s="1" t="s">
        <v>162</v>
      </c>
    </row>
    <row r="59" ht="14.25" customHeight="1">
      <c r="B59" s="2" t="s">
        <v>92</v>
      </c>
      <c r="C59" s="2" t="s">
        <v>163</v>
      </c>
      <c r="D59" s="2" t="s">
        <v>164</v>
      </c>
      <c r="E59" s="2" t="s">
        <v>165</v>
      </c>
      <c r="F59" s="2" t="s">
        <v>166</v>
      </c>
      <c r="G59" s="2" t="s">
        <v>167</v>
      </c>
      <c r="H59" s="2" t="s">
        <v>168</v>
      </c>
      <c r="I59" s="2" t="s">
        <v>169</v>
      </c>
      <c r="J59" s="2" t="s">
        <v>170</v>
      </c>
      <c r="K59" s="2" t="s">
        <v>171</v>
      </c>
      <c r="L59" s="2" t="s">
        <v>172</v>
      </c>
      <c r="M59" s="2" t="s">
        <v>173</v>
      </c>
      <c r="N59" s="2" t="s">
        <v>174</v>
      </c>
      <c r="O59" s="2" t="s">
        <v>175</v>
      </c>
      <c r="P59" s="2" t="s">
        <v>176</v>
      </c>
      <c r="Q59" s="2" t="s">
        <v>177</v>
      </c>
      <c r="R59" s="2" t="s">
        <v>178</v>
      </c>
      <c r="S59" s="3" t="s">
        <v>179</v>
      </c>
      <c r="T59" s="3" t="s">
        <v>180</v>
      </c>
    </row>
    <row r="60" ht="14.25" customHeight="1">
      <c r="B60" s="4" t="s">
        <v>93</v>
      </c>
      <c r="C60" s="5">
        <f>$C$26*B$21</f>
        <v>740230.4</v>
      </c>
      <c r="D60" s="8">
        <v>0.1290328681625981</v>
      </c>
      <c r="E60" s="8">
        <v>0.8682598651770396</v>
      </c>
      <c r="F60" s="8">
        <v>0.0</v>
      </c>
      <c r="G60" s="5">
        <f t="shared" ref="G60:G71" si="13">C60*D60</f>
        <v>95514.05161</v>
      </c>
      <c r="H60" s="5">
        <f t="shared" ref="H60:H71" si="14">C60*E60</f>
        <v>642712.3473</v>
      </c>
      <c r="I60" s="5">
        <f t="shared" ref="I60:I71" si="15">C60*F60</f>
        <v>0</v>
      </c>
      <c r="J60" s="5">
        <f>G60*B$14+H60*B$15+I60*B$16</f>
        <v>1324739.601</v>
      </c>
      <c r="K60" s="5">
        <f t="shared" ref="K60:K71" si="16">G60+H60+I60</f>
        <v>738226.3989</v>
      </c>
      <c r="L60" s="25">
        <v>0.0</v>
      </c>
      <c r="M60" s="5">
        <f t="shared" ref="M60:M71" si="17">J60+L60*$C$26/4550</f>
        <v>1324739.601</v>
      </c>
      <c r="N60" s="5">
        <f>MIN($C$30*B$11,$C$28*B$12*B$11,B$7)</f>
        <v>118279</v>
      </c>
      <c r="O60" s="5">
        <f>N60/Supuestos!$B$14*B$14</f>
        <v>140998.4246</v>
      </c>
      <c r="P60" s="5">
        <f>N60*B$16-O60</f>
        <v>123639.01</v>
      </c>
      <c r="Q60" s="5">
        <f>1162951*MIN(1,$C$30/6960)</f>
        <v>1162951</v>
      </c>
      <c r="R60" s="5">
        <f t="shared" ref="R60:R71" si="18">P60+Q60</f>
        <v>1286590.01</v>
      </c>
      <c r="S60" s="5">
        <f>Q60/B$17</f>
        <v>2688.158199</v>
      </c>
      <c r="T60" s="5">
        <f>B$9-S60</f>
        <v>-0.1581988812</v>
      </c>
    </row>
    <row r="61" ht="14.25" customHeight="1">
      <c r="B61" s="4" t="s">
        <v>94</v>
      </c>
      <c r="C61" s="5">
        <f>$C$26*C$21</f>
        <v>673764</v>
      </c>
      <c r="D61" s="8">
        <v>0.166421773796166</v>
      </c>
      <c r="E61" s="8">
        <v>0.8325541287453767</v>
      </c>
      <c r="F61" s="8">
        <v>0.0</v>
      </c>
      <c r="G61" s="5">
        <f t="shared" si="13"/>
        <v>112129</v>
      </c>
      <c r="H61" s="5">
        <f t="shared" si="14"/>
        <v>560945</v>
      </c>
      <c r="I61" s="5">
        <f t="shared" si="15"/>
        <v>0</v>
      </c>
      <c r="J61" s="5">
        <f>G61*C$14+H61*C$15+I61*C$16</f>
        <v>1214252.503</v>
      </c>
      <c r="K61" s="5">
        <f t="shared" si="16"/>
        <v>673074</v>
      </c>
      <c r="L61" s="25">
        <v>0.0</v>
      </c>
      <c r="M61" s="5">
        <f t="shared" si="17"/>
        <v>1214252.503</v>
      </c>
      <c r="N61" s="5">
        <f>MIN($C$30*C$11,$C$28*C$12*C$11,C$7)</f>
        <v>116822</v>
      </c>
      <c r="O61" s="5">
        <f>N61/Supuestos!$B$14*C$14</f>
        <v>141999.5748</v>
      </c>
      <c r="P61" s="5">
        <f>N61*C$16-O61</f>
        <v>125043.835</v>
      </c>
      <c r="Q61" s="5">
        <f>1231916*MIN(1,$C$30/6960)</f>
        <v>1231916</v>
      </c>
      <c r="R61" s="5">
        <f t="shared" si="18"/>
        <v>1356959.835</v>
      </c>
      <c r="S61" s="5">
        <f>Q61/C$17</f>
        <v>2781.476631</v>
      </c>
      <c r="T61" s="5">
        <f>C$9-S61</f>
        <v>-0.4766312937</v>
      </c>
    </row>
    <row r="62" ht="14.25" customHeight="1">
      <c r="B62" s="4" t="s">
        <v>95</v>
      </c>
      <c r="C62" s="5">
        <f>$C$26*D$21</f>
        <v>630775.6</v>
      </c>
      <c r="D62" s="8">
        <v>0.1276665567491471</v>
      </c>
      <c r="E62" s="8">
        <v>0.8709668725506361</v>
      </c>
      <c r="F62" s="8">
        <v>0.0</v>
      </c>
      <c r="G62" s="5">
        <f t="shared" si="13"/>
        <v>80528.94893</v>
      </c>
      <c r="H62" s="5">
        <f t="shared" si="14"/>
        <v>549384.6516</v>
      </c>
      <c r="I62" s="5">
        <f t="shared" si="15"/>
        <v>0</v>
      </c>
      <c r="J62" s="5">
        <f>G62*D$14+H62*D$15+I62*D$16</f>
        <v>1170565.409</v>
      </c>
      <c r="K62" s="5">
        <f t="shared" si="16"/>
        <v>629913.6005</v>
      </c>
      <c r="L62" s="25">
        <v>0.0</v>
      </c>
      <c r="M62" s="5">
        <f t="shared" si="17"/>
        <v>1170565.409</v>
      </c>
      <c r="N62" s="5">
        <f>MIN($C$30*D$11,$C$28*D$12*D$11,D$7)</f>
        <v>122085</v>
      </c>
      <c r="O62" s="5">
        <f>N62/Supuestos!$B$14*D$14</f>
        <v>150253.5703</v>
      </c>
      <c r="P62" s="5">
        <f>N62*D$16-O62</f>
        <v>132654.0002</v>
      </c>
      <c r="Q62" s="5">
        <f>1193089*MIN(1,$C$30/6960)</f>
        <v>1193089</v>
      </c>
      <c r="R62" s="5">
        <f t="shared" si="18"/>
        <v>1325743</v>
      </c>
      <c r="S62" s="5">
        <f>Q62/D$17</f>
        <v>2654.021889</v>
      </c>
      <c r="T62" s="5">
        <f>D$9-S62</f>
        <v>-0.02188904213</v>
      </c>
    </row>
    <row r="63" ht="14.25" customHeight="1">
      <c r="B63" s="4" t="s">
        <v>96</v>
      </c>
      <c r="C63" s="5">
        <f>$C$26*E$21</f>
        <v>599180.4</v>
      </c>
      <c r="D63" s="8">
        <v>0.1612904302546814</v>
      </c>
      <c r="E63" s="8">
        <v>0.8387095697453186</v>
      </c>
      <c r="F63" s="8">
        <v>0.0</v>
      </c>
      <c r="G63" s="5">
        <f t="shared" si="13"/>
        <v>96642.06452</v>
      </c>
      <c r="H63" s="5">
        <f t="shared" si="14"/>
        <v>502538.3355</v>
      </c>
      <c r="I63" s="5">
        <f t="shared" si="15"/>
        <v>0</v>
      </c>
      <c r="J63" s="5">
        <f>G63*E$14+H63*E$15+I63*E$16</f>
        <v>1099293.036</v>
      </c>
      <c r="K63" s="5">
        <f t="shared" si="16"/>
        <v>599180.4</v>
      </c>
      <c r="L63" s="25">
        <v>0.0</v>
      </c>
      <c r="M63" s="5">
        <f t="shared" si="17"/>
        <v>1099293.036</v>
      </c>
      <c r="N63" s="5">
        <f>MIN($C$30*E$11,$C$28*E$12*E$11,E$7)</f>
        <v>146169.8711</v>
      </c>
      <c r="O63" s="5">
        <f>N63/Supuestos!$B$14*E$14</f>
        <v>180108.6881</v>
      </c>
      <c r="P63" s="5">
        <f>N63*E$16-O63</f>
        <v>159049.2639</v>
      </c>
      <c r="Q63" s="5">
        <f>1566698*MIN(1,$C$30/6960)</f>
        <v>1566698</v>
      </c>
      <c r="R63" s="5">
        <f t="shared" si="18"/>
        <v>1725747.264</v>
      </c>
      <c r="S63" s="5">
        <f>Q63/E$17</f>
        <v>3480.236355</v>
      </c>
      <c r="T63" s="5">
        <f>E$9-S63</f>
        <v>723.7636448</v>
      </c>
    </row>
    <row r="64" ht="14.25" customHeight="1">
      <c r="B64" s="4" t="s">
        <v>97</v>
      </c>
      <c r="C64" s="5">
        <f>$C$26*F$21</f>
        <v>576576</v>
      </c>
      <c r="D64" s="8">
        <v>0.1333336802086802</v>
      </c>
      <c r="E64" s="8">
        <v>0.8526109307359307</v>
      </c>
      <c r="F64" s="8">
        <v>0.0</v>
      </c>
      <c r="G64" s="5">
        <f t="shared" si="13"/>
        <v>76877</v>
      </c>
      <c r="H64" s="5">
        <f t="shared" si="14"/>
        <v>491595</v>
      </c>
      <c r="I64" s="5">
        <f t="shared" si="15"/>
        <v>0</v>
      </c>
      <c r="J64" s="5">
        <f>G64*F$14+H64*F$15+I64*F$16</f>
        <v>1048139.007</v>
      </c>
      <c r="K64" s="5">
        <f t="shared" si="16"/>
        <v>568472</v>
      </c>
      <c r="L64" s="25">
        <v>0.0</v>
      </c>
      <c r="M64" s="5">
        <f t="shared" si="17"/>
        <v>1048139.007</v>
      </c>
      <c r="N64" s="5">
        <f>MIN($C$30*F$11,$C$28*F$12*F$11,F$7)</f>
        <v>153130.3412</v>
      </c>
      <c r="O64" s="5">
        <f>N64/Supuestos!$B$14*F$14</f>
        <v>187903.6895</v>
      </c>
      <c r="P64" s="5">
        <f>N64*F$16-O64</f>
        <v>165046.4339</v>
      </c>
      <c r="Q64" s="5">
        <f>1552359*MIN(1,$C$30/6960)</f>
        <v>1552359</v>
      </c>
      <c r="R64" s="5">
        <f t="shared" si="18"/>
        <v>1717405.434</v>
      </c>
      <c r="S64" s="5">
        <f>Q64/F$17</f>
        <v>3480.2354</v>
      </c>
      <c r="T64" s="5">
        <f>F$9-S64</f>
        <v>333.7646004</v>
      </c>
    </row>
    <row r="65" ht="14.25" customHeight="1">
      <c r="B65" s="4" t="s">
        <v>98</v>
      </c>
      <c r="C65" s="5">
        <f>$C$26*G$21</f>
        <v>668012.8</v>
      </c>
      <c r="D65" s="8">
        <v>0.1285229479067024</v>
      </c>
      <c r="E65" s="8">
        <v>0.8528187325695757</v>
      </c>
      <c r="F65" s="8">
        <v>0.002543363677054189</v>
      </c>
      <c r="G65" s="5">
        <f t="shared" si="13"/>
        <v>85854.9743</v>
      </c>
      <c r="H65" s="5">
        <f t="shared" si="14"/>
        <v>569693.8294</v>
      </c>
      <c r="I65" s="5">
        <f t="shared" si="15"/>
        <v>1698.999491</v>
      </c>
      <c r="J65" s="5">
        <f>G65*G$14+H65*G$15+I65*G$16</f>
        <v>1214759.794</v>
      </c>
      <c r="K65" s="5">
        <f t="shared" si="16"/>
        <v>657247.8032</v>
      </c>
      <c r="L65" s="25">
        <v>0.0</v>
      </c>
      <c r="M65" s="5">
        <f t="shared" si="17"/>
        <v>1214759.794</v>
      </c>
      <c r="N65" s="5">
        <f>MIN($C$30*G$11,$C$28*G$12*G$11,G$7)</f>
        <v>160090.8112</v>
      </c>
      <c r="O65" s="5">
        <f>N65/Supuestos!$B$14*G$14</f>
        <v>196444.7663</v>
      </c>
      <c r="P65" s="5">
        <f>N65*G$16-O65</f>
        <v>172548.5445</v>
      </c>
      <c r="Q65" s="5">
        <f>776197*MIN(1,$C$30/6960)</f>
        <v>776197</v>
      </c>
      <c r="R65" s="5">
        <f t="shared" si="18"/>
        <v>948745.5445</v>
      </c>
      <c r="S65" s="5">
        <f>Q65/G$17</f>
        <v>1740.117921</v>
      </c>
      <c r="T65" s="5">
        <f>G$9-S65</f>
        <v>2620.882079</v>
      </c>
    </row>
    <row r="66" ht="14.25" customHeight="1">
      <c r="B66" s="4" t="s">
        <v>99</v>
      </c>
      <c r="C66" s="5">
        <f>$C$26*H$21</f>
        <v>691236</v>
      </c>
      <c r="D66" s="8">
        <v>0.169253337499783</v>
      </c>
      <c r="E66" s="8">
        <v>0.8048756141173202</v>
      </c>
      <c r="F66" s="8">
        <v>0.0105130519822463</v>
      </c>
      <c r="G66" s="5">
        <f t="shared" si="13"/>
        <v>116994</v>
      </c>
      <c r="H66" s="5">
        <f t="shared" si="14"/>
        <v>556359</v>
      </c>
      <c r="I66" s="5">
        <f t="shared" si="15"/>
        <v>7267</v>
      </c>
      <c r="J66" s="5">
        <f>G66*H$14+H66*H$15+I66*H$16</f>
        <v>1205180.892</v>
      </c>
      <c r="K66" s="5">
        <f t="shared" si="16"/>
        <v>680620</v>
      </c>
      <c r="L66" s="25">
        <v>0.0</v>
      </c>
      <c r="M66" s="5">
        <f t="shared" si="17"/>
        <v>1205180.892</v>
      </c>
      <c r="N66" s="5">
        <f>MIN($C$30*H$11,$C$28*H$12*H$11,H$7)</f>
        <v>174011.7513</v>
      </c>
      <c r="O66" s="5">
        <f>N66/Supuestos!$B$14*H$14</f>
        <v>208179.6837</v>
      </c>
      <c r="P66" s="5">
        <f>N66*H$16-O66</f>
        <v>181902.4592</v>
      </c>
      <c r="Q66" s="5">
        <f>752879*MIN(1,$C$30/6960)</f>
        <v>752879</v>
      </c>
      <c r="R66" s="5">
        <f t="shared" si="18"/>
        <v>934781.4592</v>
      </c>
      <c r="S66" s="5">
        <f>Q66/H$17</f>
        <v>1740.116951</v>
      </c>
      <c r="T66" s="5">
        <f>H$9-S66</f>
        <v>1361.883049</v>
      </c>
    </row>
    <row r="67" ht="14.25" customHeight="1">
      <c r="B67" s="4" t="s">
        <v>100</v>
      </c>
      <c r="C67" s="5">
        <f>$C$26*I$21</f>
        <v>629647.2</v>
      </c>
      <c r="D67" s="8">
        <v>0.1310353261430611</v>
      </c>
      <c r="E67" s="8">
        <v>0.8572644672332275</v>
      </c>
      <c r="F67" s="8">
        <v>0.01170020662371138</v>
      </c>
      <c r="G67" s="5">
        <f t="shared" si="13"/>
        <v>82506.02621</v>
      </c>
      <c r="H67" s="5">
        <f t="shared" si="14"/>
        <v>539774.1715</v>
      </c>
      <c r="I67" s="5">
        <f t="shared" si="15"/>
        <v>7367.00234</v>
      </c>
      <c r="J67" s="5">
        <f>G67*I$14+H67*I$15+I67*I$16</f>
        <v>1083861.974</v>
      </c>
      <c r="K67" s="5">
        <f t="shared" si="16"/>
        <v>629647.2</v>
      </c>
      <c r="L67" s="25">
        <v>0.0</v>
      </c>
      <c r="M67" s="5">
        <f t="shared" si="17"/>
        <v>1083861.974</v>
      </c>
      <c r="N67" s="5">
        <f>MIN($C$30*I$11,$C$28*I$12*I$11,I$7)</f>
        <v>187932.6914</v>
      </c>
      <c r="O67" s="5">
        <f>N67/Supuestos!$B$14*I$14</f>
        <v>215535.3055</v>
      </c>
      <c r="P67" s="5">
        <f>N67*I$16-O67</f>
        <v>186546.6878</v>
      </c>
      <c r="Q67" s="5">
        <f>715241*MIN(1,$C$30/6960)</f>
        <v>715241</v>
      </c>
      <c r="R67" s="5">
        <f t="shared" si="18"/>
        <v>901787.6878</v>
      </c>
      <c r="S67" s="5">
        <f>Q67/I$17</f>
        <v>1740.118726</v>
      </c>
      <c r="T67" s="5">
        <f>I$9-S67</f>
        <v>1364.881274</v>
      </c>
    </row>
    <row r="68" ht="14.25" customHeight="1">
      <c r="B68" s="4" t="s">
        <v>101</v>
      </c>
      <c r="C68" s="5">
        <f>$C$26*J$21</f>
        <v>669141.2</v>
      </c>
      <c r="D68" s="8">
        <v>0.1316762834738867</v>
      </c>
      <c r="E68" s="8">
        <v>0.8435621191946092</v>
      </c>
      <c r="F68" s="8">
        <v>0.01119196103661261</v>
      </c>
      <c r="G68" s="5">
        <f t="shared" si="13"/>
        <v>88110.02634</v>
      </c>
      <c r="H68" s="5">
        <f t="shared" si="14"/>
        <v>564462.1687</v>
      </c>
      <c r="I68" s="5">
        <f t="shared" si="15"/>
        <v>7489.002238</v>
      </c>
      <c r="J68" s="5">
        <f>G68*J$14+H68*J$15+I68*J$16</f>
        <v>1110338.546</v>
      </c>
      <c r="K68" s="5">
        <f t="shared" si="16"/>
        <v>660061.1973</v>
      </c>
      <c r="L68" s="25">
        <v>0.0</v>
      </c>
      <c r="M68" s="5">
        <f t="shared" si="17"/>
        <v>1110338.546</v>
      </c>
      <c r="N68" s="5">
        <f>MIN($C$30*J$11,$C$28*J$12*J$11,J$7)</f>
        <v>187932.6914</v>
      </c>
      <c r="O68" s="5">
        <f>N68/Supuestos!$B$14*J$14</f>
        <v>210954.4461</v>
      </c>
      <c r="P68" s="5">
        <f>N68*J$16-O68</f>
        <v>182332.2972</v>
      </c>
      <c r="Q68" s="5">
        <f>699145*MIN(1,$C$30/6960)</f>
        <v>699145</v>
      </c>
      <c r="R68" s="5">
        <f t="shared" si="18"/>
        <v>881477.2972</v>
      </c>
      <c r="S68" s="5">
        <f>Q68/J$17</f>
        <v>1740.118971</v>
      </c>
      <c r="T68" s="5">
        <f>J$9-S68</f>
        <v>1270.881029</v>
      </c>
    </row>
    <row r="69" ht="14.25" customHeight="1">
      <c r="B69" s="4" t="s">
        <v>102</v>
      </c>
      <c r="C69" s="5">
        <f>$C$26*K$21</f>
        <v>648211.2</v>
      </c>
      <c r="D69" s="8">
        <v>0.128567704034643</v>
      </c>
      <c r="E69" s="8">
        <v>0.7797291314093713</v>
      </c>
      <c r="F69" s="8">
        <v>0.01126485048849834</v>
      </c>
      <c r="G69" s="5">
        <f t="shared" si="13"/>
        <v>83339.02571</v>
      </c>
      <c r="H69" s="5">
        <f t="shared" si="14"/>
        <v>505429.1559</v>
      </c>
      <c r="I69" s="5">
        <f t="shared" si="15"/>
        <v>7302.002253</v>
      </c>
      <c r="J69" s="5">
        <f>G69*K$14+H69*K$15+I69*K$16</f>
        <v>1000757.2</v>
      </c>
      <c r="K69" s="5">
        <f t="shared" si="16"/>
        <v>596070.1839</v>
      </c>
      <c r="L69" s="25">
        <v>0.0</v>
      </c>
      <c r="M69" s="5">
        <f t="shared" si="17"/>
        <v>1000757.2</v>
      </c>
      <c r="N69" s="5">
        <f>MIN($C$30*K$11,$C$28*K$12*K$11,K$7)</f>
        <v>148414</v>
      </c>
      <c r="O69" s="5">
        <f>N69/Supuestos!$B$14*K$14</f>
        <v>166672.014</v>
      </c>
      <c r="P69" s="5">
        <f>N69*K$16-O69</f>
        <v>144077.2192</v>
      </c>
      <c r="Q69" s="5">
        <f>699527*MIN(1,$C$30/6960)</f>
        <v>699527</v>
      </c>
      <c r="R69" s="5">
        <f t="shared" si="18"/>
        <v>843604.2192</v>
      </c>
      <c r="S69" s="5">
        <f>Q69/K$17</f>
        <v>1740.116915</v>
      </c>
      <c r="T69" s="5">
        <f>K$9-S69</f>
        <v>111.8830846</v>
      </c>
    </row>
    <row r="70" ht="14.25" customHeight="1">
      <c r="B70" s="4" t="s">
        <v>103</v>
      </c>
      <c r="C70" s="5">
        <f>$C$26*L$21</f>
        <v>821475.2</v>
      </c>
      <c r="D70" s="8">
        <v>0.1605161447396452</v>
      </c>
      <c r="E70" s="8">
        <v>0.7724970327764082</v>
      </c>
      <c r="F70" s="8">
        <v>0.01119206305730546</v>
      </c>
      <c r="G70" s="5">
        <f t="shared" si="13"/>
        <v>131860.0321</v>
      </c>
      <c r="H70" s="5">
        <f t="shared" si="14"/>
        <v>634587.1545</v>
      </c>
      <c r="I70" s="5">
        <f t="shared" si="15"/>
        <v>9194.002238</v>
      </c>
      <c r="J70" s="5">
        <f>G70*L$14+H70*L$15+I70*L$16</f>
        <v>1286607.771</v>
      </c>
      <c r="K70" s="5">
        <f t="shared" si="16"/>
        <v>775641.1888</v>
      </c>
      <c r="L70" s="25">
        <v>0.0</v>
      </c>
      <c r="M70" s="5">
        <f t="shared" si="17"/>
        <v>1286607.771</v>
      </c>
      <c r="N70" s="5">
        <f>MIN($C$30*L$11,$C$28*L$12*L$11,L$7)</f>
        <v>178884</v>
      </c>
      <c r="O70" s="5">
        <f>N70/Supuestos!$B$14*L$14</f>
        <v>200983.6275</v>
      </c>
      <c r="P70" s="5">
        <f>N70*L$16-O70</f>
        <v>173760.4641</v>
      </c>
      <c r="Q70" s="5">
        <f>699979*MIN(1,$C$30/6960)</f>
        <v>699979</v>
      </c>
      <c r="R70" s="5">
        <f t="shared" si="18"/>
        <v>873739.4641</v>
      </c>
      <c r="S70" s="5">
        <f>Q70/L$17</f>
        <v>1740.115845</v>
      </c>
      <c r="T70" s="5">
        <f>L$9-S70</f>
        <v>304.8841545</v>
      </c>
    </row>
    <row r="71" ht="14.25" customHeight="1">
      <c r="B71" s="4" t="s">
        <v>104</v>
      </c>
      <c r="C71" s="5">
        <f>$C$26*M$21</f>
        <v>766584</v>
      </c>
      <c r="D71" s="8">
        <v>0.1254396126190998</v>
      </c>
      <c r="E71" s="8">
        <v>0.84402231197103</v>
      </c>
      <c r="F71" s="8">
        <v>0.001577126577126577</v>
      </c>
      <c r="G71" s="5">
        <f t="shared" si="13"/>
        <v>96160</v>
      </c>
      <c r="H71" s="5">
        <f t="shared" si="14"/>
        <v>647014</v>
      </c>
      <c r="I71" s="5">
        <f t="shared" si="15"/>
        <v>1209</v>
      </c>
      <c r="J71" s="5">
        <f>G71*M$14+H71*M$15+I71*M$16</f>
        <v>1253341.91</v>
      </c>
      <c r="K71" s="5">
        <f t="shared" si="16"/>
        <v>744383</v>
      </c>
      <c r="L71" s="25">
        <v>0.0</v>
      </c>
      <c r="M71" s="5">
        <f t="shared" si="17"/>
        <v>1253341.91</v>
      </c>
      <c r="N71" s="5">
        <f>MIN($C$30*M$11,$C$28*M$12*M$11,M$7)</f>
        <v>135622</v>
      </c>
      <c r="O71" s="5">
        <f>N71/Supuestos!$B$14*M$14</f>
        <v>152376.9679</v>
      </c>
      <c r="P71" s="5">
        <f>N71*M$16-O71</f>
        <v>131723.9977</v>
      </c>
      <c r="Q71" s="5">
        <f>699944*MIN(1,$C$30/6960)</f>
        <v>699944</v>
      </c>
      <c r="R71" s="5">
        <f t="shared" si="18"/>
        <v>831667.9977</v>
      </c>
      <c r="S71" s="5">
        <f>Q71/M$17</f>
        <v>1740.115354</v>
      </c>
      <c r="T71" s="5">
        <f>M$9-S71</f>
        <v>1185.884646</v>
      </c>
    </row>
    <row r="72" ht="14.25" customHeight="1">
      <c r="B72" s="3" t="s">
        <v>105</v>
      </c>
      <c r="C72" s="10">
        <f>SUM(C60:C71)</f>
        <v>8114834</v>
      </c>
      <c r="G72" s="10">
        <f t="shared" ref="G72:K72" si="19">SUM(G60:G71)</f>
        <v>1146515.15</v>
      </c>
      <c r="H72" s="10">
        <f t="shared" si="19"/>
        <v>6764494.814</v>
      </c>
      <c r="I72" s="10">
        <f t="shared" si="19"/>
        <v>41527.00856</v>
      </c>
      <c r="J72" s="10">
        <f t="shared" si="19"/>
        <v>14011837.64</v>
      </c>
      <c r="K72" s="10">
        <f t="shared" si="19"/>
        <v>7952536.973</v>
      </c>
      <c r="M72" s="10">
        <f t="shared" ref="M72:R72" si="20">SUM(M60:M71)</f>
        <v>14011837.64</v>
      </c>
      <c r="N72" s="10">
        <f t="shared" si="20"/>
        <v>1829374.158</v>
      </c>
      <c r="O72" s="10">
        <f t="shared" si="20"/>
        <v>2152410.758</v>
      </c>
      <c r="P72" s="10">
        <f t="shared" si="20"/>
        <v>1878324.213</v>
      </c>
      <c r="Q72" s="10">
        <f t="shared" si="20"/>
        <v>11749925</v>
      </c>
      <c r="R72" s="10">
        <f t="shared" si="20"/>
        <v>13628249.21</v>
      </c>
      <c r="S72" s="5">
        <f t="shared" ref="S72:T72" si="21">AVERAGE(S60:S71)</f>
        <v>2272.079096</v>
      </c>
      <c r="T72" s="5">
        <f t="shared" si="21"/>
        <v>773.1709035</v>
      </c>
    </row>
    <row r="73" ht="14.25" customHeight="1">
      <c r="A73" s="29" t="s">
        <v>181</v>
      </c>
    </row>
    <row r="74" ht="14.25" customHeight="1"/>
    <row r="75" ht="14.25" customHeight="1">
      <c r="A75" s="1" t="s">
        <v>182</v>
      </c>
    </row>
    <row r="76" ht="14.25" customHeight="1">
      <c r="B76" s="2" t="s">
        <v>92</v>
      </c>
      <c r="C76" s="2" t="s">
        <v>163</v>
      </c>
      <c r="D76" s="2" t="s">
        <v>164</v>
      </c>
      <c r="E76" s="2" t="s">
        <v>165</v>
      </c>
      <c r="F76" s="2" t="s">
        <v>166</v>
      </c>
      <c r="G76" s="2" t="s">
        <v>167</v>
      </c>
      <c r="H76" s="2" t="s">
        <v>168</v>
      </c>
      <c r="I76" s="2" t="s">
        <v>169</v>
      </c>
      <c r="J76" s="2" t="s">
        <v>170</v>
      </c>
      <c r="K76" s="2" t="s">
        <v>171</v>
      </c>
      <c r="L76" s="2" t="s">
        <v>172</v>
      </c>
      <c r="M76" s="2" t="s">
        <v>173</v>
      </c>
      <c r="N76" s="2" t="s">
        <v>174</v>
      </c>
      <c r="O76" s="2" t="s">
        <v>175</v>
      </c>
      <c r="P76" s="2" t="s">
        <v>176</v>
      </c>
      <c r="Q76" s="2" t="s">
        <v>177</v>
      </c>
      <c r="R76" s="2" t="s">
        <v>178</v>
      </c>
      <c r="S76" s="3" t="s">
        <v>179</v>
      </c>
      <c r="T76" s="3" t="s">
        <v>180</v>
      </c>
    </row>
    <row r="77" ht="14.25" customHeight="1">
      <c r="B77" s="4" t="s">
        <v>93</v>
      </c>
      <c r="C77" s="5">
        <f>$D$26*B$21</f>
        <v>136568.4416</v>
      </c>
      <c r="D77" s="8">
        <v>0.1290346201159862</v>
      </c>
      <c r="E77" s="8">
        <v>0.8709727022435709</v>
      </c>
      <c r="F77" s="8">
        <v>0.0</v>
      </c>
      <c r="G77" s="5">
        <f t="shared" ref="G77:G88" si="22">C77*D77</f>
        <v>17622.05698</v>
      </c>
      <c r="H77" s="5">
        <f t="shared" ref="H77:H88" si="23">C77*E77</f>
        <v>118947.3846</v>
      </c>
      <c r="I77" s="5">
        <f t="shared" ref="I77:I88" si="24">C77*F77</f>
        <v>0</v>
      </c>
      <c r="J77" s="5">
        <f>G77*B$14+H77*B$15+I77*B$16</f>
        <v>245108.0811</v>
      </c>
      <c r="K77" s="5">
        <f t="shared" ref="K77:K88" si="25">G77+H77+I77</f>
        <v>136569.4416</v>
      </c>
      <c r="L77" s="25">
        <v>0.0</v>
      </c>
      <c r="M77" s="5">
        <f t="shared" ref="M77:M88" si="26">J77+L77*$D$26/839.45</f>
        <v>245108.0811</v>
      </c>
      <c r="N77" s="5">
        <f>MIN($D$30*B$11,$D$28*B$12*B$11,B$7)</f>
        <v>118279</v>
      </c>
      <c r="O77" s="5">
        <f>N77/Supuestos!$B$14*B$14</f>
        <v>140998.4246</v>
      </c>
      <c r="P77" s="5">
        <f>N77*B$16-O77</f>
        <v>123639.01</v>
      </c>
      <c r="Q77" s="5">
        <f>1162951*MIN(1,$D$30/6960)</f>
        <v>1162951</v>
      </c>
      <c r="R77" s="5">
        <f t="shared" ref="R77:R88" si="27">P77+Q77</f>
        <v>1286590.01</v>
      </c>
      <c r="S77" s="5">
        <f>Q77/B$17</f>
        <v>2688.158199</v>
      </c>
      <c r="T77" s="5">
        <f>B$9-S77</f>
        <v>-0.1581988812</v>
      </c>
    </row>
    <row r="78" ht="14.25" customHeight="1">
      <c r="B78" s="4" t="s">
        <v>94</v>
      </c>
      <c r="C78" s="5">
        <f>$D$26*C$21</f>
        <v>124305.756</v>
      </c>
      <c r="D78" s="8">
        <v>0.1666693482213248</v>
      </c>
      <c r="E78" s="8">
        <v>0.8333306517786752</v>
      </c>
      <c r="F78" s="8">
        <v>0.0</v>
      </c>
      <c r="G78" s="5">
        <f t="shared" si="22"/>
        <v>20717.95933</v>
      </c>
      <c r="H78" s="5">
        <f t="shared" si="23"/>
        <v>103587.7967</v>
      </c>
      <c r="I78" s="5">
        <f t="shared" si="24"/>
        <v>0</v>
      </c>
      <c r="J78" s="5">
        <f>G78*C$14+H78*C$15+I78*C$16</f>
        <v>224245.2572</v>
      </c>
      <c r="K78" s="5">
        <f t="shared" si="25"/>
        <v>124305.756</v>
      </c>
      <c r="L78" s="25">
        <v>0.0</v>
      </c>
      <c r="M78" s="5">
        <f t="shared" si="26"/>
        <v>224245.2572</v>
      </c>
      <c r="N78" s="5">
        <f>MIN($D$30*C$11,$D$28*C$12*C$11,C$7)</f>
        <v>116822</v>
      </c>
      <c r="O78" s="5">
        <f>N78/Supuestos!$B$14*C$14</f>
        <v>141999.5748</v>
      </c>
      <c r="P78" s="5">
        <f>N78*C$16-O78</f>
        <v>125043.835</v>
      </c>
      <c r="Q78" s="5">
        <f>1231916*MIN(1,$D$30/6960)</f>
        <v>1231916</v>
      </c>
      <c r="R78" s="5">
        <f t="shared" si="27"/>
        <v>1356959.835</v>
      </c>
      <c r="S78" s="5">
        <f>Q78/C$17</f>
        <v>2781.476631</v>
      </c>
      <c r="T78" s="5">
        <f>C$9-S78</f>
        <v>-0.4766312937</v>
      </c>
    </row>
    <row r="79" ht="14.25" customHeight="1">
      <c r="B79" s="4" t="s">
        <v>95</v>
      </c>
      <c r="C79" s="5">
        <f>$D$26*D$21</f>
        <v>116374.6324</v>
      </c>
      <c r="D79" s="8">
        <v>0.129031149301826</v>
      </c>
      <c r="E79" s="8">
        <v>0.870968850698174</v>
      </c>
      <c r="F79" s="8">
        <v>0.0</v>
      </c>
      <c r="G79" s="5">
        <f t="shared" si="22"/>
        <v>15015.95257</v>
      </c>
      <c r="H79" s="5">
        <f t="shared" si="23"/>
        <v>101358.6798</v>
      </c>
      <c r="I79" s="5">
        <f t="shared" si="24"/>
        <v>0</v>
      </c>
      <c r="J79" s="5">
        <f>G79*D$14+H79*D$15+I79*D$16</f>
        <v>216150.9637</v>
      </c>
      <c r="K79" s="5">
        <f t="shared" si="25"/>
        <v>116374.6324</v>
      </c>
      <c r="L79" s="25">
        <v>0.0</v>
      </c>
      <c r="M79" s="5">
        <f t="shared" si="26"/>
        <v>216150.9637</v>
      </c>
      <c r="N79" s="5">
        <f>MIN($D$30*D$11,$D$28*D$12*D$11,D$7)</f>
        <v>122085</v>
      </c>
      <c r="O79" s="5">
        <f>N79/Supuestos!$B$14*D$14</f>
        <v>150253.5703</v>
      </c>
      <c r="P79" s="5">
        <f>N79*D$16-O79</f>
        <v>132654.0002</v>
      </c>
      <c r="Q79" s="5">
        <f>1193089*MIN(1,$D$30/6960)</f>
        <v>1193089</v>
      </c>
      <c r="R79" s="5">
        <f t="shared" si="27"/>
        <v>1325743</v>
      </c>
      <c r="S79" s="5">
        <f>Q79/D$17</f>
        <v>2654.021889</v>
      </c>
      <c r="T79" s="5">
        <f>D$9-S79</f>
        <v>-0.02188904213</v>
      </c>
    </row>
    <row r="80" ht="14.25" customHeight="1">
      <c r="B80" s="4" t="s">
        <v>96</v>
      </c>
      <c r="C80" s="5">
        <f>$D$26*E$21</f>
        <v>110545.4916</v>
      </c>
      <c r="D80" s="8">
        <v>0.1612917816273916</v>
      </c>
      <c r="E80" s="8">
        <v>0.8387172644624361</v>
      </c>
      <c r="F80" s="8">
        <v>0.0</v>
      </c>
      <c r="G80" s="5">
        <f t="shared" si="22"/>
        <v>17830.07929</v>
      </c>
      <c r="H80" s="5">
        <f t="shared" si="23"/>
        <v>92716.41231</v>
      </c>
      <c r="I80" s="5">
        <f t="shared" si="24"/>
        <v>0</v>
      </c>
      <c r="J80" s="5">
        <f>G80*E$14+H80*E$15+I80*E$16</f>
        <v>202815.3689</v>
      </c>
      <c r="K80" s="5">
        <f t="shared" si="25"/>
        <v>110546.4916</v>
      </c>
      <c r="L80" s="25">
        <v>0.0</v>
      </c>
      <c r="M80" s="5">
        <f t="shared" si="26"/>
        <v>202815.3689</v>
      </c>
      <c r="N80" s="5">
        <f>MIN($D$30*E$11,$D$28*E$12*E$11,E$7)</f>
        <v>146169.8711</v>
      </c>
      <c r="O80" s="5">
        <f>N80/Supuestos!$B$14*E$14</f>
        <v>180108.6881</v>
      </c>
      <c r="P80" s="5">
        <f>N80*E$16-O80</f>
        <v>159049.2639</v>
      </c>
      <c r="Q80" s="5">
        <f>1566698*MIN(1,$D$30/6960)</f>
        <v>1566698</v>
      </c>
      <c r="R80" s="5">
        <f t="shared" si="27"/>
        <v>1725747.264</v>
      </c>
      <c r="S80" s="5">
        <f>Q80/E$17</f>
        <v>3480.236355</v>
      </c>
      <c r="T80" s="5">
        <f>E$9-S80</f>
        <v>723.7636448</v>
      </c>
    </row>
    <row r="81" ht="14.25" customHeight="1">
      <c r="B81" s="4" t="s">
        <v>97</v>
      </c>
      <c r="C81" s="5">
        <f>$D$26*F$21</f>
        <v>106375.104</v>
      </c>
      <c r="D81" s="8">
        <v>0.1333301997649824</v>
      </c>
      <c r="E81" s="8">
        <v>0.8666698002350176</v>
      </c>
      <c r="F81" s="8">
        <v>0.0</v>
      </c>
      <c r="G81" s="5">
        <f t="shared" si="22"/>
        <v>14183.01387</v>
      </c>
      <c r="H81" s="5">
        <f t="shared" si="23"/>
        <v>92192.09013</v>
      </c>
      <c r="I81" s="5">
        <f t="shared" si="24"/>
        <v>0</v>
      </c>
      <c r="J81" s="5">
        <f>G81*F$14+H81*F$15+I81*F$16</f>
        <v>196288.5627</v>
      </c>
      <c r="K81" s="5">
        <f t="shared" si="25"/>
        <v>106375.104</v>
      </c>
      <c r="L81" s="25">
        <v>0.0</v>
      </c>
      <c r="M81" s="5">
        <f t="shared" si="26"/>
        <v>196288.5627</v>
      </c>
      <c r="N81" s="5">
        <f>MIN($D$30*F$11,$D$28*F$12*F$11,F$7)</f>
        <v>153130.3412</v>
      </c>
      <c r="O81" s="5">
        <f>N81/Supuestos!$B$14*F$14</f>
        <v>187903.6895</v>
      </c>
      <c r="P81" s="5">
        <f>N81*F$16-O81</f>
        <v>165046.4339</v>
      </c>
      <c r="Q81" s="5">
        <f>1552359*MIN(1,$D$30/6960)</f>
        <v>1552359</v>
      </c>
      <c r="R81" s="5">
        <f t="shared" si="27"/>
        <v>1717405.434</v>
      </c>
      <c r="S81" s="5">
        <f>Q81/F$17</f>
        <v>3480.2354</v>
      </c>
      <c r="T81" s="5">
        <f>F$9-S81</f>
        <v>333.7646004</v>
      </c>
    </row>
    <row r="82" ht="14.25" customHeight="1">
      <c r="B82" s="4" t="s">
        <v>98</v>
      </c>
      <c r="C82" s="5">
        <f>$D$26*G$21</f>
        <v>123244.6912</v>
      </c>
      <c r="D82" s="8">
        <v>0.1285244837518763</v>
      </c>
      <c r="E82" s="8">
        <v>0.8689277455474868</v>
      </c>
      <c r="F82" s="8">
        <v>0.002539656781208163</v>
      </c>
      <c r="G82" s="5">
        <f t="shared" si="22"/>
        <v>15839.96031</v>
      </c>
      <c r="H82" s="5">
        <f t="shared" si="23"/>
        <v>107090.7317</v>
      </c>
      <c r="I82" s="5">
        <f t="shared" si="24"/>
        <v>312.9992158</v>
      </c>
      <c r="J82" s="5">
        <f>G82*G$14+H82*G$15+I82*G$16</f>
        <v>227982.9414</v>
      </c>
      <c r="K82" s="5">
        <f t="shared" si="25"/>
        <v>123243.6912</v>
      </c>
      <c r="L82" s="25">
        <v>0.0</v>
      </c>
      <c r="M82" s="5">
        <f t="shared" si="26"/>
        <v>227982.9414</v>
      </c>
      <c r="N82" s="5">
        <f>MIN($D$30*G$11,$D$28*G$12*G$11,G$7)</f>
        <v>160090.8112</v>
      </c>
      <c r="O82" s="5">
        <f>N82/Supuestos!$B$14*G$14</f>
        <v>196444.7663</v>
      </c>
      <c r="P82" s="5">
        <f>N82*G$16-O82</f>
        <v>172548.5445</v>
      </c>
      <c r="Q82" s="5">
        <f>776197*MIN(1,$D$30/6960)</f>
        <v>776197</v>
      </c>
      <c r="R82" s="5">
        <f t="shared" si="27"/>
        <v>948745.5445</v>
      </c>
      <c r="S82" s="5">
        <f>Q82/G$17</f>
        <v>1740.117921</v>
      </c>
      <c r="T82" s="5">
        <f>G$9-S82</f>
        <v>2620.882079</v>
      </c>
    </row>
    <row r="83" ht="14.25" customHeight="1">
      <c r="B83" s="4" t="s">
        <v>99</v>
      </c>
      <c r="C83" s="5">
        <f>$D$26*H$21</f>
        <v>127529.244</v>
      </c>
      <c r="D83" s="8">
        <v>0.1692556202902869</v>
      </c>
      <c r="E83" s="8">
        <v>0.8202369657097601</v>
      </c>
      <c r="F83" s="8">
        <v>0.01051525535368426</v>
      </c>
      <c r="G83" s="5">
        <f t="shared" si="22"/>
        <v>21585.0413</v>
      </c>
      <c r="H83" s="5">
        <f t="shared" si="23"/>
        <v>104604.2001</v>
      </c>
      <c r="I83" s="5">
        <f t="shared" si="24"/>
        <v>1341.002566</v>
      </c>
      <c r="J83" s="5">
        <f>G83*H$14+H83*H$15+I83*H$16</f>
        <v>226063.3463</v>
      </c>
      <c r="K83" s="5">
        <f t="shared" si="25"/>
        <v>127530.244</v>
      </c>
      <c r="L83" s="25">
        <v>0.0</v>
      </c>
      <c r="M83" s="5">
        <f t="shared" si="26"/>
        <v>226063.3463</v>
      </c>
      <c r="N83" s="5">
        <f>MIN($D$30*H$11,$D$28*H$12*H$11,H$7)</f>
        <v>174011.7513</v>
      </c>
      <c r="O83" s="5">
        <f>N83/Supuestos!$B$14*H$14</f>
        <v>208179.6837</v>
      </c>
      <c r="P83" s="5">
        <f>N83*H$16-O83</f>
        <v>181902.4592</v>
      </c>
      <c r="Q83" s="5">
        <f>752879*MIN(1,$D$30/6960)</f>
        <v>752879</v>
      </c>
      <c r="R83" s="5">
        <f t="shared" si="27"/>
        <v>934781.4592</v>
      </c>
      <c r="S83" s="5">
        <f>Q83/H$17</f>
        <v>1740.116951</v>
      </c>
      <c r="T83" s="5">
        <f>H$9-S83</f>
        <v>1361.883049</v>
      </c>
    </row>
    <row r="84" ht="14.25" customHeight="1">
      <c r="B84" s="4" t="s">
        <v>100</v>
      </c>
      <c r="C84" s="5">
        <f>$D$26*I$21</f>
        <v>116166.4488</v>
      </c>
      <c r="D84" s="8">
        <v>0.131036620009297</v>
      </c>
      <c r="E84" s="8">
        <v>0.8572646041010279</v>
      </c>
      <c r="F84" s="8">
        <v>0.01169877588967512</v>
      </c>
      <c r="G84" s="5">
        <f t="shared" si="22"/>
        <v>15222.05881</v>
      </c>
      <c r="H84" s="5">
        <f t="shared" si="23"/>
        <v>99585.38474</v>
      </c>
      <c r="I84" s="5">
        <f t="shared" si="24"/>
        <v>1359.00525</v>
      </c>
      <c r="J84" s="5">
        <f>G84*I$14+H84*I$15+I84*I$16</f>
        <v>199966.4176</v>
      </c>
      <c r="K84" s="5">
        <f t="shared" si="25"/>
        <v>116166.4488</v>
      </c>
      <c r="L84" s="25">
        <v>0.0</v>
      </c>
      <c r="M84" s="5">
        <f t="shared" si="26"/>
        <v>199966.4176</v>
      </c>
      <c r="N84" s="5">
        <f>MIN($D$30*I$11,$D$28*I$12*I$11,I$7)</f>
        <v>187932.6914</v>
      </c>
      <c r="O84" s="5">
        <f>N84/Supuestos!$B$14*I$14</f>
        <v>215535.3055</v>
      </c>
      <c r="P84" s="5">
        <f>N84*I$16-O84</f>
        <v>186546.6878</v>
      </c>
      <c r="Q84" s="5">
        <f>715241*MIN(1,$D$30/6960)</f>
        <v>715241</v>
      </c>
      <c r="R84" s="5">
        <f t="shared" si="27"/>
        <v>901787.6878</v>
      </c>
      <c r="S84" s="5">
        <f>Q84/I$17</f>
        <v>1740.118726</v>
      </c>
      <c r="T84" s="5">
        <f>I$9-S84</f>
        <v>1364.881274</v>
      </c>
    </row>
    <row r="85" ht="14.25" customHeight="1">
      <c r="B85" s="4" t="s">
        <v>101</v>
      </c>
      <c r="C85" s="5">
        <f>$D$26*J$21</f>
        <v>123452.8748</v>
      </c>
      <c r="D85" s="8">
        <v>0.1320421536941184</v>
      </c>
      <c r="E85" s="8">
        <v>0.8567633026333908</v>
      </c>
      <c r="F85" s="8">
        <v>0.01119454367249074</v>
      </c>
      <c r="G85" s="5">
        <f t="shared" si="22"/>
        <v>16300.98347</v>
      </c>
      <c r="H85" s="5">
        <f t="shared" si="23"/>
        <v>105769.8927</v>
      </c>
      <c r="I85" s="5">
        <f t="shared" si="24"/>
        <v>1381.998598</v>
      </c>
      <c r="J85" s="5">
        <f>G85*J$14+H85*J$15+I85*J$16</f>
        <v>207787.1053</v>
      </c>
      <c r="K85" s="5">
        <f t="shared" si="25"/>
        <v>123452.8748</v>
      </c>
      <c r="L85" s="25">
        <v>0.0</v>
      </c>
      <c r="M85" s="5">
        <f t="shared" si="26"/>
        <v>207787.1053</v>
      </c>
      <c r="N85" s="5">
        <f>MIN($D$30*J$11,$D$28*J$12*J$11,J$7)</f>
        <v>187932.6914</v>
      </c>
      <c r="O85" s="5">
        <f>N85/Supuestos!$B$14*J$14</f>
        <v>210954.4461</v>
      </c>
      <c r="P85" s="5">
        <f>N85*J$16-O85</f>
        <v>182332.2972</v>
      </c>
      <c r="Q85" s="5">
        <f>699145*MIN(1,$D$30/6960)</f>
        <v>699145</v>
      </c>
      <c r="R85" s="5">
        <f t="shared" si="27"/>
        <v>881477.2972</v>
      </c>
      <c r="S85" s="5">
        <f>Q85/J$17</f>
        <v>1740.118971</v>
      </c>
      <c r="T85" s="5">
        <f>J$9-S85</f>
        <v>1270.881029</v>
      </c>
    </row>
    <row r="86" ht="14.25" customHeight="1">
      <c r="B86" s="4" t="s">
        <v>102</v>
      </c>
      <c r="C86" s="5">
        <f>$D$26*K$21</f>
        <v>119591.4048</v>
      </c>
      <c r="D86" s="8">
        <v>0.1450778068583756</v>
      </c>
      <c r="E86" s="8">
        <v>0.8436671655893838</v>
      </c>
      <c r="F86" s="8">
        <v>0.01126338938548887</v>
      </c>
      <c r="G86" s="5">
        <f t="shared" si="22"/>
        <v>17350.05873</v>
      </c>
      <c r="H86" s="5">
        <f t="shared" si="23"/>
        <v>100895.3415</v>
      </c>
      <c r="I86" s="5">
        <f t="shared" si="24"/>
        <v>1347.004559</v>
      </c>
      <c r="J86" s="5">
        <f>G86*K$14+H86*K$15+I86*K$16</f>
        <v>200312.0016</v>
      </c>
      <c r="K86" s="5">
        <f t="shared" si="25"/>
        <v>119592.4048</v>
      </c>
      <c r="L86" s="25">
        <v>0.0</v>
      </c>
      <c r="M86" s="5">
        <f t="shared" si="26"/>
        <v>200312.0016</v>
      </c>
      <c r="N86" s="5">
        <f>MIN($D$30*K$11,$D$28*K$12*K$11,K$7)</f>
        <v>148414</v>
      </c>
      <c r="O86" s="5">
        <f>N86/Supuestos!$B$14*K$14</f>
        <v>166672.014</v>
      </c>
      <c r="P86" s="5">
        <f>N86*K$16-O86</f>
        <v>144077.2192</v>
      </c>
      <c r="Q86" s="5">
        <f>699527*MIN(1,$D$30/6960)</f>
        <v>699527</v>
      </c>
      <c r="R86" s="5">
        <f t="shared" si="27"/>
        <v>843604.2192</v>
      </c>
      <c r="S86" s="5">
        <f>Q86/K$17</f>
        <v>1740.116915</v>
      </c>
      <c r="T86" s="5">
        <f>K$9-S86</f>
        <v>111.8830846</v>
      </c>
    </row>
    <row r="87" ht="14.25" customHeight="1">
      <c r="B87" s="4" t="s">
        <v>103</v>
      </c>
      <c r="C87" s="5">
        <f>$D$26*L$21</f>
        <v>151557.6608</v>
      </c>
      <c r="D87" s="8">
        <v>0.1627825650905924</v>
      </c>
      <c r="E87" s="8">
        <v>0.8260204014304755</v>
      </c>
      <c r="F87" s="8">
        <v>0.01119043534488447</v>
      </c>
      <c r="G87" s="5">
        <f t="shared" si="22"/>
        <v>24670.94478</v>
      </c>
      <c r="H87" s="5">
        <f t="shared" si="23"/>
        <v>125189.7198</v>
      </c>
      <c r="I87" s="5">
        <f t="shared" si="24"/>
        <v>1695.996204</v>
      </c>
      <c r="J87" s="5">
        <f>G87*L$14+H87*L$15+I87*L$16</f>
        <v>252124.3967</v>
      </c>
      <c r="K87" s="5">
        <f t="shared" si="25"/>
        <v>151556.6608</v>
      </c>
      <c r="L87" s="25">
        <v>0.0</v>
      </c>
      <c r="M87" s="5">
        <f t="shared" si="26"/>
        <v>252124.3967</v>
      </c>
      <c r="N87" s="5">
        <f>MIN($D$30*L$11,$D$28*L$12*L$11,L$7)</f>
        <v>178884</v>
      </c>
      <c r="O87" s="5">
        <f>N87/Supuestos!$B$14*L$14</f>
        <v>200983.6275</v>
      </c>
      <c r="P87" s="5">
        <f>N87*L$16-O87</f>
        <v>173760.4641</v>
      </c>
      <c r="Q87" s="5">
        <f>699979*MIN(1,$D$30/6960)</f>
        <v>699979</v>
      </c>
      <c r="R87" s="5">
        <f t="shared" si="27"/>
        <v>873739.4641</v>
      </c>
      <c r="S87" s="5">
        <f>Q87/L$17</f>
        <v>1740.115845</v>
      </c>
      <c r="T87" s="5">
        <f>L$9-S87</f>
        <v>304.8841545</v>
      </c>
    </row>
    <row r="88" ht="14.25" customHeight="1">
      <c r="B88" s="4" t="s">
        <v>104</v>
      </c>
      <c r="C88" s="5">
        <f>$D$26*M$21</f>
        <v>141430.536</v>
      </c>
      <c r="D88" s="8">
        <v>0.1343764804038718</v>
      </c>
      <c r="E88" s="8">
        <v>0.8640467789947042</v>
      </c>
      <c r="F88" s="8">
        <v>0.001576740601424016</v>
      </c>
      <c r="G88" s="5">
        <f t="shared" si="22"/>
        <v>19004.93765</v>
      </c>
      <c r="H88" s="5">
        <f t="shared" si="23"/>
        <v>122202.5991</v>
      </c>
      <c r="I88" s="5">
        <f t="shared" si="24"/>
        <v>222.9992684</v>
      </c>
      <c r="J88" s="5">
        <f>G88*M$14+H88*M$15+I88*M$16</f>
        <v>237618.8525</v>
      </c>
      <c r="K88" s="5">
        <f t="shared" si="25"/>
        <v>141430.536</v>
      </c>
      <c r="L88" s="25">
        <v>0.0</v>
      </c>
      <c r="M88" s="5">
        <f t="shared" si="26"/>
        <v>237618.8525</v>
      </c>
      <c r="N88" s="5">
        <f>MIN($D$30*M$11,$D$28*M$12*M$11,M$7)</f>
        <v>135622</v>
      </c>
      <c r="O88" s="5">
        <f>N88/Supuestos!$B$14*M$14</f>
        <v>152376.9679</v>
      </c>
      <c r="P88" s="5">
        <f>N88*M$16-O88</f>
        <v>131723.9977</v>
      </c>
      <c r="Q88" s="5">
        <f>699944*MIN(1,$D$30/6960)</f>
        <v>699944</v>
      </c>
      <c r="R88" s="5">
        <f t="shared" si="27"/>
        <v>831667.9977</v>
      </c>
      <c r="S88" s="5">
        <f>Q88/M$17</f>
        <v>1740.115354</v>
      </c>
      <c r="T88" s="5">
        <f>M$9-S88</f>
        <v>1185.884646</v>
      </c>
    </row>
    <row r="89" ht="14.25" customHeight="1">
      <c r="B89" s="3" t="s">
        <v>105</v>
      </c>
      <c r="C89" s="10">
        <f>SUM(C77:C88)</f>
        <v>1497142.286</v>
      </c>
      <c r="G89" s="10">
        <f t="shared" ref="G89:K89" si="28">SUM(G77:G88)</f>
        <v>215343.0471</v>
      </c>
      <c r="H89" s="10">
        <f t="shared" si="28"/>
        <v>1274140.233</v>
      </c>
      <c r="I89" s="10">
        <f t="shared" si="28"/>
        <v>7661.005662</v>
      </c>
      <c r="J89" s="10">
        <f t="shared" si="28"/>
        <v>2636463.295</v>
      </c>
      <c r="K89" s="10">
        <f t="shared" si="28"/>
        <v>1497144.286</v>
      </c>
      <c r="M89" s="10">
        <f t="shared" ref="M89:R89" si="29">SUM(M77:M88)</f>
        <v>2636463.295</v>
      </c>
      <c r="N89" s="10">
        <f t="shared" si="29"/>
        <v>1829374.158</v>
      </c>
      <c r="O89" s="10">
        <f t="shared" si="29"/>
        <v>2152410.758</v>
      </c>
      <c r="P89" s="10">
        <f t="shared" si="29"/>
        <v>1878324.213</v>
      </c>
      <c r="Q89" s="10">
        <f t="shared" si="29"/>
        <v>11749925</v>
      </c>
      <c r="R89" s="10">
        <f t="shared" si="29"/>
        <v>13628249.21</v>
      </c>
      <c r="S89" s="5">
        <f t="shared" ref="S89:T89" si="30">AVERAGE(S77:S88)</f>
        <v>2272.079096</v>
      </c>
      <c r="T89" s="5">
        <f t="shared" si="30"/>
        <v>773.1709035</v>
      </c>
    </row>
    <row r="90" ht="14.25" customHeight="1"/>
    <row r="91" ht="14.25" customHeight="1"/>
    <row r="92" ht="14.25" customHeight="1">
      <c r="A92" s="1" t="s">
        <v>183</v>
      </c>
    </row>
    <row r="93" ht="14.25" customHeight="1">
      <c r="B93" s="2" t="s">
        <v>184</v>
      </c>
      <c r="C93" s="2" t="s">
        <v>185</v>
      </c>
      <c r="D93" s="2" t="s">
        <v>186</v>
      </c>
      <c r="E93" s="2" t="s">
        <v>187</v>
      </c>
      <c r="F93" s="2" t="s">
        <v>188</v>
      </c>
      <c r="G93" s="2" t="s">
        <v>189</v>
      </c>
      <c r="H93" s="2" t="s">
        <v>190</v>
      </c>
      <c r="I93" s="2" t="s">
        <v>191</v>
      </c>
      <c r="J93" s="2" t="s">
        <v>192</v>
      </c>
      <c r="K93" s="2" t="s">
        <v>193</v>
      </c>
      <c r="L93" s="2" t="s">
        <v>194</v>
      </c>
      <c r="M93" s="2" t="s">
        <v>195</v>
      </c>
      <c r="N93" s="2" t="s">
        <v>196</v>
      </c>
      <c r="O93" s="2" t="s">
        <v>197</v>
      </c>
      <c r="P93" s="2" t="s">
        <v>198</v>
      </c>
    </row>
    <row r="94" ht="14.25" customHeight="1">
      <c r="B94" s="4" t="s">
        <v>199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5">
        <f>-$C$34</f>
        <v>-51904125</v>
      </c>
      <c r="N94" s="5">
        <f>-$C$36</f>
        <v>-36363600</v>
      </c>
      <c r="O94" s="5">
        <f t="shared" ref="O94:P94" si="31">M94</f>
        <v>-51904125</v>
      </c>
      <c r="P94" s="5">
        <f t="shared" si="31"/>
        <v>-36363600</v>
      </c>
    </row>
    <row r="95" ht="14.25" customHeight="1">
      <c r="B95" s="19">
        <f>Supuestos!$B$25+1-1</f>
        <v>2026</v>
      </c>
      <c r="C95" s="5">
        <f>$C$39*(1+Supuestos!$B$9)^(1-1)</f>
        <v>53790853.96</v>
      </c>
      <c r="D95" s="5">
        <f>IF(B95&lt;=Supuestos!$B$26,$C$38*(1+Supuestos!$B$9)^(1-1),0)</f>
        <v>1649526.96</v>
      </c>
      <c r="E95" s="5">
        <f t="shared" ref="E95:E114" si="33">C95-D95</f>
        <v>52141327</v>
      </c>
      <c r="F95" s="5">
        <f>$C$43*(1+Supuestos!$B$9)^(1-1)*(1-Supuestos!$B$11)^(1-1)</f>
        <v>14011837.64</v>
      </c>
      <c r="G95" s="5">
        <f>$C$44*(1+Supuestos!$B$9)^(1-1)*(1-Supuestos!$B$12)^(1-1)</f>
        <v>11356874.34</v>
      </c>
      <c r="H95" s="5">
        <f>IF(1&lt;=Supuestos!$B$18,$C$42*$C$31*(1+Supuestos!$B$10)^(1-1)*(1-Supuestos!$B$11)^(1-1),0)</f>
        <v>8343801.792</v>
      </c>
      <c r="I95" s="5">
        <f>IF(1&lt;=Supuestos!$B$19,G95*$C$32,0)</f>
        <v>5678437.172</v>
      </c>
      <c r="J95" s="10">
        <f t="shared" ref="J95:J114" si="34">F95+G95-H95-I95</f>
        <v>11346473.02</v>
      </c>
      <c r="K95" s="5">
        <f t="shared" ref="K95:K114" si="35">K94+J95</f>
        <v>11346473.02</v>
      </c>
      <c r="L95" s="8">
        <f t="shared" ref="L95:L114" si="36">IF(E95&gt;0,J95/E95,0)</f>
        <v>0.217609978</v>
      </c>
      <c r="M95" s="5">
        <f>IF(1&lt;=Supuestos!$B$18,H95-Supuestos!$B$22*$C$26*(1+Supuestos!$B$9)^(1-1),0)</f>
        <v>6933301.792</v>
      </c>
      <c r="N95" s="5">
        <f>IF(1&lt;=Supuestos!$B$19,I95-Supuestos!$B$23*$C$29*(1+Supuestos!$B$9)^(1-1),0)</f>
        <v>4346437.172</v>
      </c>
      <c r="O95" s="5">
        <f t="shared" ref="O95:P95" si="32">O94+M95</f>
        <v>-44970823.21</v>
      </c>
      <c r="P95" s="5">
        <f t="shared" si="32"/>
        <v>-32017162.83</v>
      </c>
    </row>
    <row r="96" ht="14.25" customHeight="1">
      <c r="B96" s="19">
        <f>Supuestos!$B$25+2-1</f>
        <v>2027</v>
      </c>
      <c r="C96" s="5">
        <f>$C$39*(1+Supuestos!$B$9)^(2-1)</f>
        <v>56480396.66</v>
      </c>
      <c r="D96" s="5">
        <f>IF(B96&lt;=Supuestos!$B$26,$C$38*(1+Supuestos!$B$9)^(2-1),0)</f>
        <v>1732003.308</v>
      </c>
      <c r="E96" s="5">
        <f t="shared" si="33"/>
        <v>54748393.35</v>
      </c>
      <c r="F96" s="5">
        <f>$C$43*(1+Supuestos!$B$9)^(2-1)*(1-Supuestos!$B$11)^(2-1)</f>
        <v>14638867.38</v>
      </c>
      <c r="G96" s="5">
        <f>$C$44*(1+Supuestos!$B$9)^(2-1)*(1-Supuestos!$B$12)^(2-1)</f>
        <v>11775659.09</v>
      </c>
      <c r="H96" s="5">
        <f>IF(2&lt;=Supuestos!$B$18,$C$42*$C$31*(1+Supuestos!$B$10)^(2-1)*(1-Supuestos!$B$11)^(2-1),0)</f>
        <v>8717186.922</v>
      </c>
      <c r="I96" s="5">
        <f>IF(2&lt;=Supuestos!$B$19,G96*$C$32,0)</f>
        <v>5887829.543</v>
      </c>
      <c r="J96" s="10">
        <f t="shared" si="34"/>
        <v>11809510</v>
      </c>
      <c r="K96" s="5">
        <f t="shared" si="35"/>
        <v>23155983.02</v>
      </c>
      <c r="L96" s="8">
        <f t="shared" si="36"/>
        <v>0.2157051426</v>
      </c>
      <c r="M96" s="5">
        <f>IF(2&lt;=Supuestos!$B$18,H96-Supuestos!$B$22*$C$26*(1+Supuestos!$B$9)^(2-1),0)</f>
        <v>7236161.922</v>
      </c>
      <c r="N96" s="5">
        <f>IF(2&lt;=Supuestos!$B$19,I96-Supuestos!$B$23*$C$29*(1+Supuestos!$B$9)^(2-1),0)</f>
        <v>4489229.543</v>
      </c>
      <c r="O96" s="5">
        <f t="shared" ref="O96:P96" si="37">O95+M96</f>
        <v>-37734661.29</v>
      </c>
      <c r="P96" s="5">
        <f t="shared" si="37"/>
        <v>-27527933.29</v>
      </c>
    </row>
    <row r="97" ht="14.25" customHeight="1">
      <c r="B97" s="19">
        <f>Supuestos!$B$25+3-1</f>
        <v>2028</v>
      </c>
      <c r="C97" s="5">
        <f>$C$39*(1+Supuestos!$B$9)^(3-1)</f>
        <v>59304416.49</v>
      </c>
      <c r="D97" s="5">
        <f>IF(B97&lt;=Supuestos!$B$26,$C$38*(1+Supuestos!$B$9)^(3-1),0)</f>
        <v>1818603.473</v>
      </c>
      <c r="E97" s="5">
        <f t="shared" si="33"/>
        <v>57485813.02</v>
      </c>
      <c r="F97" s="5">
        <f>$C$43*(1+Supuestos!$B$9)^(3-1)*(1-Supuestos!$B$11)^(3-1)</f>
        <v>15293956.69</v>
      </c>
      <c r="G97" s="5">
        <f>$C$44*(1+Supuestos!$B$9)^(3-1)*(1-Supuestos!$B$12)^(3-1)</f>
        <v>12209886.51</v>
      </c>
      <c r="H97" s="5">
        <f>IF(3&lt;=Supuestos!$B$18,$C$42*$C$31*(1+Supuestos!$B$10)^(3-1)*(1-Supuestos!$B$11)^(3-1),0)</f>
        <v>9107281.037</v>
      </c>
      <c r="I97" s="5">
        <f>IF(3&lt;=Supuestos!$B$19,G97*$C$32,0)</f>
        <v>6104943.257</v>
      </c>
      <c r="J97" s="10">
        <f t="shared" si="34"/>
        <v>12291618.91</v>
      </c>
      <c r="K97" s="5">
        <f t="shared" si="35"/>
        <v>35447601.93</v>
      </c>
      <c r="L97" s="8">
        <f t="shared" si="36"/>
        <v>0.2138200413</v>
      </c>
      <c r="M97" s="5">
        <f>IF(3&lt;=Supuestos!$B$18,H97-Supuestos!$B$22*$C$26*(1+Supuestos!$B$9)^(3-1),0)</f>
        <v>7552204.787</v>
      </c>
      <c r="N97" s="5">
        <f>IF(3&lt;=Supuestos!$B$19,I97-Supuestos!$B$23*$C$29*(1+Supuestos!$B$9)^(3-1),0)</f>
        <v>4636413.257</v>
      </c>
      <c r="O97" s="5">
        <f t="shared" ref="O97:P97" si="38">O96+M97</f>
        <v>-30182456.5</v>
      </c>
      <c r="P97" s="5">
        <f t="shared" si="38"/>
        <v>-22891520.03</v>
      </c>
    </row>
    <row r="98" ht="14.25" customHeight="1">
      <c r="B98" s="19">
        <f>Supuestos!$B$25+4-1</f>
        <v>2029</v>
      </c>
      <c r="C98" s="5">
        <f>$C$39*(1+Supuestos!$B$9)^(4-1)</f>
        <v>62269637.32</v>
      </c>
      <c r="D98" s="5">
        <f>IF(B98&lt;=Supuestos!$B$26,$C$38*(1+Supuestos!$B$9)^(4-1),0)</f>
        <v>1909533.647</v>
      </c>
      <c r="E98" s="5">
        <f t="shared" si="33"/>
        <v>60360103.67</v>
      </c>
      <c r="F98" s="5">
        <f>$C$43*(1+Supuestos!$B$9)^(4-1)*(1-Supuestos!$B$11)^(4-1)</f>
        <v>15978361.25</v>
      </c>
      <c r="G98" s="5">
        <f>$C$44*(1+Supuestos!$B$9)^(4-1)*(1-Supuestos!$B$12)^(4-1)</f>
        <v>12660126.08</v>
      </c>
      <c r="H98" s="5">
        <f>IF(4&lt;=Supuestos!$B$18,$C$42*$C$31*(1+Supuestos!$B$10)^(4-1)*(1-Supuestos!$B$11)^(4-1),0)</f>
        <v>9514831.863</v>
      </c>
      <c r="I98" s="5">
        <f>IF(4&lt;=Supuestos!$B$19,G98*$C$32,0)</f>
        <v>6330063.04</v>
      </c>
      <c r="J98" s="10">
        <f t="shared" si="34"/>
        <v>12793592.43</v>
      </c>
      <c r="K98" s="5">
        <f t="shared" si="35"/>
        <v>48241194.36</v>
      </c>
      <c r="L98" s="8">
        <f t="shared" si="36"/>
        <v>0.2119544476</v>
      </c>
      <c r="M98" s="5">
        <f>IF(4&lt;=Supuestos!$B$18,H98-Supuestos!$B$22*$C$26*(1+Supuestos!$B$9)^(4-1),0)</f>
        <v>7882001.801</v>
      </c>
      <c r="N98" s="5">
        <f>IF(4&lt;=Supuestos!$B$19,I98-Supuestos!$B$23*$C$29*(1+Supuestos!$B$9)^(4-1),0)</f>
        <v>4788106.54</v>
      </c>
      <c r="O98" s="5">
        <f t="shared" ref="O98:P98" si="39">O97+M98</f>
        <v>-22300454.7</v>
      </c>
      <c r="P98" s="5">
        <f t="shared" si="39"/>
        <v>-18103413.49</v>
      </c>
    </row>
    <row r="99" ht="14.25" customHeight="1">
      <c r="B99" s="19">
        <f>Supuestos!$B$25+5-1</f>
        <v>2030</v>
      </c>
      <c r="C99" s="5">
        <f>$C$39*(1+Supuestos!$B$9)^(5-1)</f>
        <v>65383119.18</v>
      </c>
      <c r="D99" s="5">
        <f>IF(B99&lt;=Supuestos!$B$26,$C$38*(1+Supuestos!$B$9)^(5-1),0)</f>
        <v>2005010.329</v>
      </c>
      <c r="E99" s="5">
        <f t="shared" si="33"/>
        <v>63378108.85</v>
      </c>
      <c r="F99" s="5">
        <f>$C$43*(1+Supuestos!$B$9)^(5-1)*(1-Supuestos!$B$11)^(5-1)</f>
        <v>16693392.92</v>
      </c>
      <c r="G99" s="5">
        <f>$C$44*(1+Supuestos!$B$9)^(5-1)*(1-Supuestos!$B$12)^(5-1)</f>
        <v>13126968.23</v>
      </c>
      <c r="H99" s="5">
        <f>IF(5&lt;=Supuestos!$B$18,$C$42*$C$31*(1+Supuestos!$B$10)^(5-1)*(1-Supuestos!$B$11)^(5-1),0)</f>
        <v>9940620.589</v>
      </c>
      <c r="I99" s="5">
        <f>IF(5&lt;=Supuestos!$B$19,G99*$C$32,0)</f>
        <v>6563484.114</v>
      </c>
      <c r="J99" s="10">
        <f t="shared" si="34"/>
        <v>13316256.44</v>
      </c>
      <c r="K99" s="5">
        <f t="shared" si="35"/>
        <v>61557450.8</v>
      </c>
      <c r="L99" s="8">
        <f t="shared" si="36"/>
        <v>0.210108138</v>
      </c>
      <c r="M99" s="5">
        <f>IF(5&lt;=Supuestos!$B$18,H99-Supuestos!$B$22*$C$26*(1+Supuestos!$B$9)^(5-1),0)</f>
        <v>8226149.023</v>
      </c>
      <c r="N99" s="5">
        <f>IF(5&lt;=Supuestos!$B$19,I99-Supuestos!$B$23*$C$29*(1+Supuestos!$B$9)^(5-1),0)</f>
        <v>4944429.789</v>
      </c>
      <c r="O99" s="5">
        <f t="shared" ref="O99:P99" si="40">O98+M99</f>
        <v>-14074305.68</v>
      </c>
      <c r="P99" s="5">
        <f t="shared" si="40"/>
        <v>-13158983.7</v>
      </c>
    </row>
    <row r="100" ht="14.25" customHeight="1">
      <c r="B100" s="19">
        <f>Supuestos!$B$25+6-1</f>
        <v>2031</v>
      </c>
      <c r="C100" s="5">
        <f>$C$39*(1+Supuestos!$B$9)^(6-1)</f>
        <v>68652275.14</v>
      </c>
      <c r="D100" s="5">
        <f>IF(B100&lt;=Supuestos!$B$26,$C$38*(1+Supuestos!$B$9)^(6-1),0)</f>
        <v>2105260.846</v>
      </c>
      <c r="E100" s="5">
        <f t="shared" si="33"/>
        <v>66547014.29</v>
      </c>
      <c r="F100" s="5">
        <f>$C$43*(1+Supuestos!$B$9)^(6-1)*(1-Supuestos!$B$11)^(6-1)</f>
        <v>17440422.25</v>
      </c>
      <c r="G100" s="5">
        <f>$C$44*(1+Supuestos!$B$9)^(6-1)*(1-Supuestos!$B$12)^(6-1)</f>
        <v>13611025.18</v>
      </c>
      <c r="H100" s="5">
        <f>IF(6&lt;=Supuestos!$B$18,$C$42*$C$31*(1+Supuestos!$B$10)^(6-1)*(1-Supuestos!$B$11)^(6-1),0)</f>
        <v>10385463.36</v>
      </c>
      <c r="I100" s="5">
        <f>IF(6&lt;=Supuestos!$B$19,G100*$C$32,0)</f>
        <v>6805512.591</v>
      </c>
      <c r="J100" s="10">
        <f t="shared" si="34"/>
        <v>13860471.48</v>
      </c>
      <c r="K100" s="5">
        <f t="shared" si="35"/>
        <v>75417922.28</v>
      </c>
      <c r="L100" s="8">
        <f t="shared" si="36"/>
        <v>0.2082808918</v>
      </c>
      <c r="M100" s="5">
        <f>IF(6&lt;=Supuestos!$B$18,H100-Supuestos!$B$22*$C$26*(1+Supuestos!$B$9)^(6-1),0)</f>
        <v>8585268.216</v>
      </c>
      <c r="N100" s="5">
        <f>IF(6&lt;=Supuestos!$B$19,I100-Supuestos!$B$23*$C$29*(1+Supuestos!$B$9)^(6-1),0)</f>
        <v>5105505.55</v>
      </c>
      <c r="O100" s="5">
        <f t="shared" ref="O100:P100" si="41">O99+M100</f>
        <v>-5489037.459</v>
      </c>
      <c r="P100" s="5">
        <f t="shared" si="41"/>
        <v>-8053478.149</v>
      </c>
    </row>
    <row r="101" ht="14.25" customHeight="1">
      <c r="B101" s="19">
        <f>Supuestos!$B$25+7-1</f>
        <v>2032</v>
      </c>
      <c r="C101" s="5">
        <f>$C$39*(1+Supuestos!$B$9)^(7-1)</f>
        <v>72084888.9</v>
      </c>
      <c r="D101" s="5">
        <f>IF(B101&lt;=Supuestos!$B$26,$C$38*(1+Supuestos!$B$9)^(7-1),0)</f>
        <v>2210523.888</v>
      </c>
      <c r="E101" s="5">
        <f t="shared" si="33"/>
        <v>69874365.01</v>
      </c>
      <c r="F101" s="5">
        <f>$C$43*(1+Supuestos!$B$9)^(7-1)*(1-Supuestos!$B$11)^(7-1)</f>
        <v>18220881.15</v>
      </c>
      <c r="G101" s="5">
        <f>$C$44*(1+Supuestos!$B$9)^(7-1)*(1-Supuestos!$B$12)^(7-1)</f>
        <v>14112931.74</v>
      </c>
      <c r="H101" s="5">
        <f>IF(7&lt;=Supuestos!$B$18,$C$42*$C$31*(1+Supuestos!$B$10)^(7-1)*(1-Supuestos!$B$11)^(7-1),0)</f>
        <v>10850212.85</v>
      </c>
      <c r="I101" s="5">
        <f>IF(7&lt;=Supuestos!$B$19,G101*$C$32,0)</f>
        <v>7056465.868</v>
      </c>
      <c r="J101" s="10">
        <f t="shared" si="34"/>
        <v>14427134.17</v>
      </c>
      <c r="K101" s="5">
        <f t="shared" si="35"/>
        <v>89845056.45</v>
      </c>
      <c r="L101" s="8">
        <f t="shared" si="36"/>
        <v>0.2064724906</v>
      </c>
      <c r="M101" s="5">
        <f>IF(7&lt;=Supuestos!$B$18,H101-Supuestos!$B$22*$C$26*(1+Supuestos!$B$9)^(7-1),0)</f>
        <v>8960007.945</v>
      </c>
      <c r="N101" s="5">
        <f>IF(7&lt;=Supuestos!$B$19,I101-Supuestos!$B$23*$C$29*(1+Supuestos!$B$9)^(7-1),0)</f>
        <v>5271458.474</v>
      </c>
      <c r="O101" s="5">
        <f t="shared" ref="O101:P101" si="42">O100+M101</f>
        <v>3470970.486</v>
      </c>
      <c r="P101" s="5">
        <f t="shared" si="42"/>
        <v>-2782019.675</v>
      </c>
    </row>
    <row r="102" ht="14.25" customHeight="1">
      <c r="B102" s="19">
        <f>Supuestos!$B$25+8-1</f>
        <v>2033</v>
      </c>
      <c r="C102" s="5">
        <f>$C$39*(1+Supuestos!$B$9)^(8-1)</f>
        <v>75689133.34</v>
      </c>
      <c r="D102" s="5">
        <f>IF(B102&lt;=Supuestos!$B$26,$C$38*(1+Supuestos!$B$9)^(8-1),0)</f>
        <v>0</v>
      </c>
      <c r="E102" s="5">
        <f t="shared" si="33"/>
        <v>75689133.34</v>
      </c>
      <c r="F102" s="5">
        <f>$C$43*(1+Supuestos!$B$9)^(8-1)*(1-Supuestos!$B$11)^(8-1)</f>
        <v>19036265.58</v>
      </c>
      <c r="G102" s="5">
        <f>$C$44*(1+Supuestos!$B$9)^(8-1)*(1-Supuestos!$B$12)^(8-1)</f>
        <v>14633346.09</v>
      </c>
      <c r="H102" s="5">
        <f>IF(8&lt;=Supuestos!$B$18,$C$42*$C$31*(1+Supuestos!$B$10)^(8-1)*(1-Supuestos!$B$11)^(8-1),0)</f>
        <v>11335759.87</v>
      </c>
      <c r="I102" s="5">
        <f>IF(8&lt;=Supuestos!$B$19,G102*$C$32,0)</f>
        <v>7316673.047</v>
      </c>
      <c r="J102" s="10">
        <f t="shared" si="34"/>
        <v>15017178.75</v>
      </c>
      <c r="K102" s="5">
        <f t="shared" si="35"/>
        <v>104862235.2</v>
      </c>
      <c r="L102" s="8">
        <f t="shared" si="36"/>
        <v>0.1984060075</v>
      </c>
      <c r="M102" s="5">
        <f>IF(8&lt;=Supuestos!$B$18,H102-Supuestos!$B$22*$C$26*(1+Supuestos!$B$9)^(8-1),0)</f>
        <v>9351044.724</v>
      </c>
      <c r="N102" s="5">
        <f>IF(8&lt;=Supuestos!$B$19,I102-Supuestos!$B$23*$C$29*(1+Supuestos!$B$9)^(8-1),0)</f>
        <v>5442415.284</v>
      </c>
      <c r="O102" s="5">
        <f t="shared" ref="O102:P102" si="43">O101+M102</f>
        <v>12822015.21</v>
      </c>
      <c r="P102" s="5">
        <f t="shared" si="43"/>
        <v>2660395.609</v>
      </c>
    </row>
    <row r="103" ht="14.25" customHeight="1">
      <c r="B103" s="19">
        <f>Supuestos!$B$25+9-1</f>
        <v>2034</v>
      </c>
      <c r="C103" s="5">
        <f>$C$39*(1+Supuestos!$B$9)^(9-1)</f>
        <v>79473590.01</v>
      </c>
      <c r="D103" s="5">
        <f>IF(B103&lt;=Supuestos!$B$26,$C$38*(1+Supuestos!$B$9)^(9-1),0)</f>
        <v>0</v>
      </c>
      <c r="E103" s="5">
        <f t="shared" si="33"/>
        <v>79473590.01</v>
      </c>
      <c r="F103" s="5">
        <f>$C$43*(1+Supuestos!$B$9)^(9-1)*(1-Supuestos!$B$11)^(9-1)</f>
        <v>19888138.46</v>
      </c>
      <c r="G103" s="5">
        <f>$C$44*(1+Supuestos!$B$9)^(9-1)*(1-Supuestos!$B$12)^(9-1)</f>
        <v>15172950.73</v>
      </c>
      <c r="H103" s="5">
        <f>IF(9&lt;=Supuestos!$B$18,$C$42*$C$31*(1+Supuestos!$B$10)^(9-1)*(1-Supuestos!$B$11)^(9-1),0)</f>
        <v>11843035.12</v>
      </c>
      <c r="I103" s="5">
        <f>IF(9&lt;=Supuestos!$B$19,G103*$C$32,0)</f>
        <v>7586475.365</v>
      </c>
      <c r="J103" s="10">
        <f t="shared" si="34"/>
        <v>15631578.7</v>
      </c>
      <c r="K103" s="5">
        <f t="shared" si="35"/>
        <v>120493813.9</v>
      </c>
      <c r="L103" s="8">
        <f t="shared" si="36"/>
        <v>0.1966889718</v>
      </c>
      <c r="M103" s="5">
        <f>IF(9&lt;=Supuestos!$B$18,H103-Supuestos!$B$22*$C$26*(1+Supuestos!$B$9)^(9-1),0)</f>
        <v>9759084.221</v>
      </c>
      <c r="N103" s="5">
        <f>IF(9&lt;=Supuestos!$B$19,I103-Supuestos!$B$23*$C$29*(1+Supuestos!$B$9)^(9-1),0)</f>
        <v>5618504.714</v>
      </c>
      <c r="O103" s="5">
        <f t="shared" ref="O103:P103" si="44">O102+M103</f>
        <v>22581099.43</v>
      </c>
      <c r="P103" s="5">
        <f t="shared" si="44"/>
        <v>8278900.323</v>
      </c>
    </row>
    <row r="104" ht="14.25" customHeight="1">
      <c r="B104" s="19">
        <f>Supuestos!$B$25+10-1</f>
        <v>2035</v>
      </c>
      <c r="C104" s="5">
        <f>$C$39*(1+Supuestos!$B$9)^(10-1)</f>
        <v>83447269.51</v>
      </c>
      <c r="D104" s="5">
        <f>IF(B104&lt;=Supuestos!$B$26,$C$38*(1+Supuestos!$B$9)^(10-1),0)</f>
        <v>0</v>
      </c>
      <c r="E104" s="5">
        <f t="shared" si="33"/>
        <v>83447269.51</v>
      </c>
      <c r="F104" s="5">
        <f>$C$43*(1+Supuestos!$B$9)^(10-1)*(1-Supuestos!$B$11)^(10-1)</f>
        <v>20778132.66</v>
      </c>
      <c r="G104" s="5">
        <f>$C$44*(1+Supuestos!$B$9)^(10-1)*(1-Supuestos!$B$12)^(10-1)</f>
        <v>15732453.29</v>
      </c>
      <c r="H104" s="5">
        <f>IF(10&lt;=Supuestos!$B$18,$C$42*$C$31*(1+Supuestos!$B$10)^(10-1)*(1-Supuestos!$B$11)^(10-1),0)</f>
        <v>12373010.95</v>
      </c>
      <c r="I104" s="5">
        <f>IF(10&lt;=Supuestos!$B$19,G104*$C$32,0)</f>
        <v>7866226.644</v>
      </c>
      <c r="J104" s="10">
        <f t="shared" si="34"/>
        <v>16271348.36</v>
      </c>
      <c r="K104" s="5">
        <f t="shared" si="35"/>
        <v>136765162.3</v>
      </c>
      <c r="L104" s="8">
        <f t="shared" si="36"/>
        <v>0.1949895839</v>
      </c>
      <c r="M104" s="5">
        <f>IF(10&lt;=Supuestos!$B$18,H104-Supuestos!$B$22*$C$26*(1+Supuestos!$B$9)^(10-1),0)</f>
        <v>10184862.5</v>
      </c>
      <c r="N104" s="5">
        <f>IF(10&lt;=Supuestos!$B$19,I104-Supuestos!$B$23*$C$29*(1+Supuestos!$B$9)^(10-1),0)</f>
        <v>5799857.461</v>
      </c>
      <c r="O104" s="5">
        <f t="shared" ref="O104:P104" si="45">O103+M104</f>
        <v>32765961.93</v>
      </c>
      <c r="P104" s="5">
        <f t="shared" si="45"/>
        <v>14078757.78</v>
      </c>
    </row>
    <row r="105" ht="14.25" customHeight="1">
      <c r="B105" s="19">
        <f>Supuestos!$B$25+11-1</f>
        <v>2036</v>
      </c>
      <c r="C105" s="5">
        <f>$C$39*(1+Supuestos!$B$9)^(11-1)</f>
        <v>87619632.99</v>
      </c>
      <c r="D105" s="5">
        <f>IF(B105&lt;=Supuestos!$B$26,$C$38*(1+Supuestos!$B$9)^(11-1),0)</f>
        <v>0</v>
      </c>
      <c r="E105" s="5">
        <f t="shared" si="33"/>
        <v>87619632.99</v>
      </c>
      <c r="F105" s="5">
        <f>$C$43*(1+Supuestos!$B$9)^(11-1)*(1-Supuestos!$B$11)^(11-1)</f>
        <v>21707954.1</v>
      </c>
      <c r="G105" s="5">
        <f>$C$44*(1+Supuestos!$B$9)^(11-1)*(1-Supuestos!$B$12)^(11-1)</f>
        <v>16312587.5</v>
      </c>
      <c r="H105" s="5">
        <f>IF(11&lt;=Supuestos!$B$18,$C$42*$C$31*(1+Supuestos!$B$10)^(11-1)*(1-Supuestos!$B$11)^(11-1),0)</f>
        <v>12926703.19</v>
      </c>
      <c r="I105" s="5">
        <f>IF(11&lt;=Supuestos!$B$19,G105*$C$32,0)</f>
        <v>8156293.752</v>
      </c>
      <c r="J105" s="10">
        <f t="shared" si="34"/>
        <v>16937544.66</v>
      </c>
      <c r="K105" s="5">
        <f t="shared" si="35"/>
        <v>153702706.9</v>
      </c>
      <c r="L105" s="8">
        <f t="shared" si="36"/>
        <v>0.1933076422</v>
      </c>
      <c r="M105" s="5">
        <f>IF(11&lt;=Supuestos!$B$18,H105-Supuestos!$B$22*$C$26*(1+Supuestos!$B$9)^(11-1),0)</f>
        <v>10629147.32</v>
      </c>
      <c r="N105" s="5">
        <f>IF(11&lt;=Supuestos!$B$19,I105-Supuestos!$B$23*$C$29*(1+Supuestos!$B$9)^(11-1),0)</f>
        <v>5986606.109</v>
      </c>
      <c r="O105" s="5">
        <f t="shared" ref="O105:P105" si="46">O104+M105</f>
        <v>43395109.24</v>
      </c>
      <c r="P105" s="5">
        <f t="shared" si="46"/>
        <v>20065363.89</v>
      </c>
    </row>
    <row r="106" ht="14.25" customHeight="1">
      <c r="B106" s="19">
        <f>Supuestos!$B$25+12-1</f>
        <v>2037</v>
      </c>
      <c r="C106" s="5">
        <f>$C$39*(1+Supuestos!$B$9)^(12-1)</f>
        <v>92000614.63</v>
      </c>
      <c r="D106" s="5">
        <f>IF(B106&lt;=Supuestos!$B$26,$C$38*(1+Supuestos!$B$9)^(12-1),0)</f>
        <v>0</v>
      </c>
      <c r="E106" s="5">
        <f t="shared" si="33"/>
        <v>92000614.63</v>
      </c>
      <c r="F106" s="5">
        <f>$C$43*(1+Supuestos!$B$9)^(12-1)*(1-Supuestos!$B$11)^(12-1)</f>
        <v>22679385.04</v>
      </c>
      <c r="G106" s="5">
        <f>$C$44*(1+Supuestos!$B$9)^(12-1)*(1-Supuestos!$B$12)^(12-1)</f>
        <v>16914114.17</v>
      </c>
      <c r="H106" s="5">
        <f>IF(12&lt;=Supuestos!$B$18,$C$42*$C$31*(1+Supuestos!$B$10)^(12-1)*(1-Supuestos!$B$11)^(12-1),0)</f>
        <v>13505173.15</v>
      </c>
      <c r="I106" s="5">
        <f>IF(12&lt;=Supuestos!$B$19,G106*$C$32,0)</f>
        <v>8457057.084</v>
      </c>
      <c r="J106" s="10">
        <f t="shared" si="34"/>
        <v>17631268.97</v>
      </c>
      <c r="K106" s="5">
        <f t="shared" si="35"/>
        <v>171333975.9</v>
      </c>
      <c r="L106" s="8">
        <f t="shared" si="36"/>
        <v>0.1916429476</v>
      </c>
      <c r="M106" s="5">
        <f>IF(12&lt;=Supuestos!$B$18,H106-Supuestos!$B$22*$C$26*(1+Supuestos!$B$9)^(12-1),0)</f>
        <v>11092739.49</v>
      </c>
      <c r="N106" s="5">
        <f>IF(12&lt;=Supuestos!$B$19,I106-Supuestos!$B$23*$C$29*(1+Supuestos!$B$9)^(12-1),0)</f>
        <v>6178885.059</v>
      </c>
      <c r="O106" s="5">
        <f t="shared" ref="O106:P106" si="47">O105+M106</f>
        <v>54487848.73</v>
      </c>
      <c r="P106" s="5">
        <f t="shared" si="47"/>
        <v>26244248.95</v>
      </c>
    </row>
    <row r="107" ht="14.25" customHeight="1">
      <c r="B107" s="19">
        <f>Supuestos!$B$25+13-1</f>
        <v>2038</v>
      </c>
      <c r="C107" s="5">
        <f>$C$39*(1+Supuestos!$B$9)^(13-1)</f>
        <v>96600645.37</v>
      </c>
      <c r="D107" s="5">
        <f>IF(B107&lt;=Supuestos!$B$26,$C$38*(1+Supuestos!$B$9)^(13-1),0)</f>
        <v>0</v>
      </c>
      <c r="E107" s="5">
        <f t="shared" si="33"/>
        <v>96600645.37</v>
      </c>
      <c r="F107" s="5">
        <f>$C$43*(1+Supuestos!$B$9)^(13-1)*(1-Supuestos!$B$11)^(13-1)</f>
        <v>23694287.52</v>
      </c>
      <c r="G107" s="5">
        <f>$C$44*(1+Supuestos!$B$9)^(13-1)*(1-Supuestos!$B$12)^(13-1)</f>
        <v>17537822.13</v>
      </c>
      <c r="H107" s="5">
        <f>IF(13&lt;=Supuestos!$B$18,$C$42*$C$31*(1+Supuestos!$B$10)^(13-1)*(1-Supuestos!$B$11)^(13-1),0)</f>
        <v>14109529.65</v>
      </c>
      <c r="I107" s="5">
        <f>IF(13&lt;=Supuestos!$B$19,G107*$C$32,0)</f>
        <v>8768911.064</v>
      </c>
      <c r="J107" s="10">
        <f t="shared" si="34"/>
        <v>18353668.93</v>
      </c>
      <c r="K107" s="5">
        <f t="shared" si="35"/>
        <v>189687644.8</v>
      </c>
      <c r="L107" s="8">
        <f t="shared" si="36"/>
        <v>0.1899953035</v>
      </c>
      <c r="M107" s="5">
        <f>IF(13&lt;=Supuestos!$B$18,H107-Supuestos!$B$22*$C$26*(1+Supuestos!$B$9)^(13-1),0)</f>
        <v>11576474.3</v>
      </c>
      <c r="N107" s="5">
        <f>IF(13&lt;=Supuestos!$B$19,I107-Supuestos!$B$23*$C$29*(1+Supuestos!$B$9)^(13-1),0)</f>
        <v>6376830.438</v>
      </c>
      <c r="O107" s="5">
        <f t="shared" ref="O107:P107" si="48">O106+M107</f>
        <v>66064323.04</v>
      </c>
      <c r="P107" s="5">
        <f t="shared" si="48"/>
        <v>32621079.39</v>
      </c>
    </row>
    <row r="108" ht="14.25" customHeight="1">
      <c r="B108" s="19">
        <f>Supuestos!$B$25+14-1</f>
        <v>2039</v>
      </c>
      <c r="C108" s="5">
        <f>$C$39*(1+Supuestos!$B$9)^(14-1)</f>
        <v>101430677.6</v>
      </c>
      <c r="D108" s="5">
        <f>IF(B108&lt;=Supuestos!$B$26,$C$38*(1+Supuestos!$B$9)^(14-1),0)</f>
        <v>0</v>
      </c>
      <c r="E108" s="5">
        <f t="shared" si="33"/>
        <v>101430677.6</v>
      </c>
      <c r="F108" s="5">
        <f>$C$43*(1+Supuestos!$B$9)^(14-1)*(1-Supuestos!$B$11)^(14-1)</f>
        <v>24754606.89</v>
      </c>
      <c r="G108" s="5">
        <f>$C$44*(1+Supuestos!$B$9)^(14-1)*(1-Supuestos!$B$12)^(14-1)</f>
        <v>18184529.32</v>
      </c>
      <c r="H108" s="5">
        <f>IF(14&lt;=Supuestos!$B$18,$C$42*$C$31*(1+Supuestos!$B$10)^(14-1)*(1-Supuestos!$B$11)^(14-1),0)</f>
        <v>14740931.1</v>
      </c>
      <c r="I108" s="5">
        <f>IF(14&lt;=Supuestos!$B$19,G108*$C$32,0)</f>
        <v>9092264.659</v>
      </c>
      <c r="J108" s="10">
        <f t="shared" si="34"/>
        <v>19105940.44</v>
      </c>
      <c r="K108" s="5">
        <f t="shared" si="35"/>
        <v>208793585.3</v>
      </c>
      <c r="L108" s="8">
        <f t="shared" si="36"/>
        <v>0.1883645154</v>
      </c>
      <c r="M108" s="5">
        <f>IF(14&lt;=Supuestos!$B$18,H108-Supuestos!$B$22*$C$26*(1+Supuestos!$B$9)^(14-1),0)</f>
        <v>12081222.99</v>
      </c>
      <c r="N108" s="5">
        <f>IF(14&lt;=Supuestos!$B$19,I108-Supuestos!$B$23*$C$29*(1+Supuestos!$B$9)^(14-1),0)</f>
        <v>6580580.002</v>
      </c>
      <c r="O108" s="5">
        <f t="shared" ref="O108:P108" si="49">O107+M108</f>
        <v>78145546.03</v>
      </c>
      <c r="P108" s="5">
        <f t="shared" si="49"/>
        <v>39201659.39</v>
      </c>
    </row>
    <row r="109" ht="14.25" customHeight="1">
      <c r="B109" s="19">
        <f>Supuestos!$B$25+15-1</f>
        <v>2040</v>
      </c>
      <c r="C109" s="5">
        <f>$C$39*(1+Supuestos!$B$9)^(15-1)</f>
        <v>106502211.5</v>
      </c>
      <c r="D109" s="5">
        <f>IF(B109&lt;=Supuestos!$B$26,$C$38*(1+Supuestos!$B$9)^(15-1),0)</f>
        <v>0</v>
      </c>
      <c r="E109" s="5">
        <f t="shared" si="33"/>
        <v>106502211.5</v>
      </c>
      <c r="F109" s="5">
        <f>$C$43*(1+Supuestos!$B$9)^(15-1)*(1-Supuestos!$B$11)^(15-1)</f>
        <v>25862375.55</v>
      </c>
      <c r="G109" s="5">
        <f>$C$44*(1+Supuestos!$B$9)^(15-1)*(1-Supuestos!$B$12)^(15-1)</f>
        <v>18855083.84</v>
      </c>
      <c r="H109" s="5">
        <f>IF(15&lt;=Supuestos!$B$18,$C$42*$C$31*(1+Supuestos!$B$10)^(15-1)*(1-Supuestos!$B$11)^(15-1),0)</f>
        <v>15400587.77</v>
      </c>
      <c r="I109" s="5">
        <f>IF(15&lt;=Supuestos!$B$19,G109*$C$32,0)</f>
        <v>9427541.919</v>
      </c>
      <c r="J109" s="10">
        <f t="shared" si="34"/>
        <v>19889329.69</v>
      </c>
      <c r="K109" s="5">
        <f t="shared" si="35"/>
        <v>228682915</v>
      </c>
      <c r="L109" s="8">
        <f t="shared" si="36"/>
        <v>0.1867503915</v>
      </c>
      <c r="M109" s="5">
        <f>IF(15&lt;=Supuestos!$B$18,H109-Supuestos!$B$22*$C$26*(1+Supuestos!$B$9)^(15-1),0)</f>
        <v>12607894.25</v>
      </c>
      <c r="N109" s="5">
        <f>IF(15&lt;=Supuestos!$B$19,I109-Supuestos!$B$23*$C$29*(1+Supuestos!$B$9)^(15-1),0)</f>
        <v>6790273.028</v>
      </c>
      <c r="O109" s="5">
        <f t="shared" ref="O109:P109" si="50">O108+M109</f>
        <v>90753440.28</v>
      </c>
      <c r="P109" s="5">
        <f t="shared" si="50"/>
        <v>45991932.42</v>
      </c>
    </row>
    <row r="110" ht="14.25" customHeight="1">
      <c r="B110" s="19">
        <f>Supuestos!$B$25+16-1</f>
        <v>2041</v>
      </c>
      <c r="C110" s="5">
        <f>$C$39*(1+Supuestos!$B$9)^(16-1)</f>
        <v>111827322.1</v>
      </c>
      <c r="D110" s="5">
        <f>IF(B110&lt;=Supuestos!$B$26,$C$38*(1+Supuestos!$B$9)^(16-1),0)</f>
        <v>0</v>
      </c>
      <c r="E110" s="5">
        <f t="shared" si="33"/>
        <v>111827322.1</v>
      </c>
      <c r="F110" s="5">
        <f>$C$43*(1+Supuestos!$B$9)^(16-1)*(1-Supuestos!$B$11)^(16-1)</f>
        <v>27019716.85</v>
      </c>
      <c r="G110" s="5">
        <f>$C$44*(1+Supuestos!$B$9)^(16-1)*(1-Supuestos!$B$12)^(16-1)</f>
        <v>19550365.05</v>
      </c>
      <c r="H110" s="5">
        <f>IF(16&lt;=Supuestos!$B$18,$C$42*$C$31*(1+Supuestos!$B$10)^(16-1)*(1-Supuestos!$B$11)^(16-1),0)</f>
        <v>0</v>
      </c>
      <c r="I110" s="5">
        <f>IF(16&lt;=Supuestos!$B$19,G110*$C$32,0)</f>
        <v>0</v>
      </c>
      <c r="J110" s="10">
        <f t="shared" si="34"/>
        <v>46570081.91</v>
      </c>
      <c r="K110" s="5">
        <f t="shared" si="35"/>
        <v>275252996.9</v>
      </c>
      <c r="L110" s="8">
        <f t="shared" si="36"/>
        <v>0.416446366</v>
      </c>
      <c r="M110" s="5">
        <f>IF(16&lt;=Supuestos!$B$18,H110-Supuestos!$B$22*$C$26*(1+Supuestos!$B$9)^(16-1),0)</f>
        <v>0</v>
      </c>
      <c r="N110" s="5">
        <f>IF(16&lt;=Supuestos!$B$19,I110-Supuestos!$B$23*$C$29*(1+Supuestos!$B$9)^(16-1),0)</f>
        <v>0</v>
      </c>
      <c r="O110" s="5">
        <f t="shared" ref="O110:P110" si="51">O109+M110</f>
        <v>90753440.28</v>
      </c>
      <c r="P110" s="5">
        <f t="shared" si="51"/>
        <v>45991932.42</v>
      </c>
    </row>
    <row r="111" ht="14.25" customHeight="1">
      <c r="B111" s="19">
        <f>Supuestos!$B$25+17-1</f>
        <v>2042</v>
      </c>
      <c r="C111" s="5">
        <f>$C$39*(1+Supuestos!$B$9)^(17-1)</f>
        <v>117418688.2</v>
      </c>
      <c r="D111" s="5">
        <f>IF(B111&lt;=Supuestos!$B$26,$C$38*(1+Supuestos!$B$9)^(17-1),0)</f>
        <v>0</v>
      </c>
      <c r="E111" s="5">
        <f t="shared" si="33"/>
        <v>117418688.2</v>
      </c>
      <c r="F111" s="5">
        <f>$C$43*(1+Supuestos!$B$9)^(17-1)*(1-Supuestos!$B$11)^(17-1)</f>
        <v>28228849.18</v>
      </c>
      <c r="G111" s="5">
        <f>$C$44*(1+Supuestos!$B$9)^(17-1)*(1-Supuestos!$B$12)^(17-1)</f>
        <v>20271284.77</v>
      </c>
      <c r="H111" s="5">
        <f>IF(17&lt;=Supuestos!$B$18,$C$42*$C$31*(1+Supuestos!$B$10)^(17-1)*(1-Supuestos!$B$11)^(17-1),0)</f>
        <v>0</v>
      </c>
      <c r="I111" s="5">
        <f>IF(17&lt;=Supuestos!$B$19,G111*$C$32,0)</f>
        <v>0</v>
      </c>
      <c r="J111" s="10">
        <f t="shared" si="34"/>
        <v>48500133.95</v>
      </c>
      <c r="K111" s="5">
        <f t="shared" si="35"/>
        <v>323753130.8</v>
      </c>
      <c r="L111" s="8">
        <f t="shared" si="36"/>
        <v>0.4130529364</v>
      </c>
      <c r="M111" s="5">
        <f>IF(17&lt;=Supuestos!$B$18,H111-Supuestos!$B$22*$C$26*(1+Supuestos!$B$9)^(17-1),0)</f>
        <v>0</v>
      </c>
      <c r="N111" s="5">
        <f>IF(17&lt;=Supuestos!$B$19,I111-Supuestos!$B$23*$C$29*(1+Supuestos!$B$9)^(17-1),0)</f>
        <v>0</v>
      </c>
      <c r="O111" s="5">
        <f t="shared" ref="O111:P111" si="52">O110+M111</f>
        <v>90753440.28</v>
      </c>
      <c r="P111" s="5">
        <f t="shared" si="52"/>
        <v>45991932.42</v>
      </c>
    </row>
    <row r="112" ht="14.25" customHeight="1">
      <c r="B112" s="19">
        <f>Supuestos!$B$25+18-1</f>
        <v>2043</v>
      </c>
      <c r="C112" s="5">
        <f>$C$39*(1+Supuestos!$B$9)^(18-1)</f>
        <v>123289622.6</v>
      </c>
      <c r="D112" s="5">
        <f>IF(B112&lt;=Supuestos!$B$26,$C$38*(1+Supuestos!$B$9)^(18-1),0)</f>
        <v>0</v>
      </c>
      <c r="E112" s="5">
        <f t="shared" si="33"/>
        <v>123289622.6</v>
      </c>
      <c r="F112" s="5">
        <f>$C$43*(1+Supuestos!$B$9)^(18-1)*(1-Supuestos!$B$11)^(18-1)</f>
        <v>29492090.18</v>
      </c>
      <c r="G112" s="5">
        <f>$C$44*(1+Supuestos!$B$9)^(18-1)*(1-Supuestos!$B$12)^(18-1)</f>
        <v>21018788.39</v>
      </c>
      <c r="H112" s="5">
        <f>IF(18&lt;=Supuestos!$B$18,$C$42*$C$31*(1+Supuestos!$B$10)^(18-1)*(1-Supuestos!$B$11)^(18-1),0)</f>
        <v>0</v>
      </c>
      <c r="I112" s="5">
        <f>IF(18&lt;=Supuestos!$B$19,G112*$C$32,0)</f>
        <v>0</v>
      </c>
      <c r="J112" s="10">
        <f t="shared" si="34"/>
        <v>50510878.57</v>
      </c>
      <c r="K112" s="5">
        <f t="shared" si="35"/>
        <v>374264009.4</v>
      </c>
      <c r="L112" s="8">
        <f t="shared" si="36"/>
        <v>0.4096928639</v>
      </c>
      <c r="M112" s="5">
        <f>IF(18&lt;=Supuestos!$B$18,H112-Supuestos!$B$22*$C$26*(1+Supuestos!$B$9)^(18-1),0)</f>
        <v>0</v>
      </c>
      <c r="N112" s="5">
        <f>IF(18&lt;=Supuestos!$B$19,I112-Supuestos!$B$23*$C$29*(1+Supuestos!$B$9)^(18-1),0)</f>
        <v>0</v>
      </c>
      <c r="O112" s="5">
        <f t="shared" ref="O112:P112" si="53">O111+M112</f>
        <v>90753440.28</v>
      </c>
      <c r="P112" s="5">
        <f t="shared" si="53"/>
        <v>45991932.42</v>
      </c>
    </row>
    <row r="113" ht="14.25" customHeight="1">
      <c r="B113" s="19">
        <f>Supuestos!$B$25+19-1</f>
        <v>2044</v>
      </c>
      <c r="C113" s="5">
        <f>$C$39*(1+Supuestos!$B$9)^(19-1)</f>
        <v>129454103.7</v>
      </c>
      <c r="D113" s="5">
        <f>IF(B113&lt;=Supuestos!$B$26,$C$38*(1+Supuestos!$B$9)^(19-1),0)</f>
        <v>0</v>
      </c>
      <c r="E113" s="5">
        <f t="shared" si="33"/>
        <v>129454103.7</v>
      </c>
      <c r="F113" s="5">
        <f>$C$43*(1+Supuestos!$B$9)^(19-1)*(1-Supuestos!$B$11)^(19-1)</f>
        <v>30811861.22</v>
      </c>
      <c r="G113" s="5">
        <f>$C$44*(1+Supuestos!$B$9)^(19-1)*(1-Supuestos!$B$12)^(19-1)</f>
        <v>21793856.21</v>
      </c>
      <c r="H113" s="5">
        <f>IF(19&lt;=Supuestos!$B$18,$C$42*$C$31*(1+Supuestos!$B$10)^(19-1)*(1-Supuestos!$B$11)^(19-1),0)</f>
        <v>0</v>
      </c>
      <c r="I113" s="5">
        <f>IF(19&lt;=Supuestos!$B$19,G113*$C$32,0)</f>
        <v>0</v>
      </c>
      <c r="J113" s="10">
        <f t="shared" si="34"/>
        <v>52605717.43</v>
      </c>
      <c r="K113" s="5">
        <f t="shared" si="35"/>
        <v>426869726.8</v>
      </c>
      <c r="L113" s="8">
        <f t="shared" si="36"/>
        <v>0.4063657769</v>
      </c>
      <c r="M113" s="5">
        <f>IF(19&lt;=Supuestos!$B$18,H113-Supuestos!$B$22*$C$26*(1+Supuestos!$B$9)^(19-1),0)</f>
        <v>0</v>
      </c>
      <c r="N113" s="5">
        <f>IF(19&lt;=Supuestos!$B$19,I113-Supuestos!$B$23*$C$29*(1+Supuestos!$B$9)^(19-1),0)</f>
        <v>0</v>
      </c>
      <c r="O113" s="5">
        <f t="shared" ref="O113:P113" si="54">O112+M113</f>
        <v>90753440.28</v>
      </c>
      <c r="P113" s="5">
        <f t="shared" si="54"/>
        <v>45991932.42</v>
      </c>
    </row>
    <row r="114" ht="14.25" customHeight="1">
      <c r="B114" s="19">
        <f>Supuestos!$B$25+20-1</f>
        <v>2045</v>
      </c>
      <c r="C114" s="5">
        <f>$C$39*(1+Supuestos!$B$9)^(20-1)</f>
        <v>135926808.9</v>
      </c>
      <c r="D114" s="5">
        <f>IF(B114&lt;=Supuestos!$B$26,$C$38*(1+Supuestos!$B$9)^(20-1),0)</f>
        <v>0</v>
      </c>
      <c r="E114" s="5">
        <f t="shared" si="33"/>
        <v>135926808.9</v>
      </c>
      <c r="F114" s="5">
        <f>$C$43*(1+Supuestos!$B$9)^(20-1)*(1-Supuestos!$B$11)^(20-1)</f>
        <v>32190692.01</v>
      </c>
      <c r="G114" s="5">
        <f>$C$44*(1+Supuestos!$B$9)^(20-1)*(1-Supuestos!$B$12)^(20-1)</f>
        <v>22597504.66</v>
      </c>
      <c r="H114" s="5">
        <f>IF(20&lt;=Supuestos!$B$18,$C$42*$C$31*(1+Supuestos!$B$10)^(20-1)*(1-Supuestos!$B$11)^(20-1),0)</f>
        <v>0</v>
      </c>
      <c r="I114" s="5">
        <f>IF(20&lt;=Supuestos!$B$19,G114*$C$32,0)</f>
        <v>0</v>
      </c>
      <c r="J114" s="10">
        <f t="shared" si="34"/>
        <v>54788196.67</v>
      </c>
      <c r="K114" s="5">
        <f t="shared" si="35"/>
        <v>481657923.5</v>
      </c>
      <c r="L114" s="8">
        <f t="shared" si="36"/>
        <v>0.403071308</v>
      </c>
      <c r="M114" s="5">
        <f>IF(20&lt;=Supuestos!$B$18,H114-Supuestos!$B$22*$C$26*(1+Supuestos!$B$9)^(20-1),0)</f>
        <v>0</v>
      </c>
      <c r="N114" s="5">
        <f>IF(20&lt;=Supuestos!$B$19,I114-Supuestos!$B$23*$C$29*(1+Supuestos!$B$9)^(20-1),0)</f>
        <v>0</v>
      </c>
      <c r="O114" s="5">
        <f t="shared" ref="O114:P114" si="55">O113+M114</f>
        <v>90753440.28</v>
      </c>
      <c r="P114" s="5">
        <f t="shared" si="55"/>
        <v>45991932.42</v>
      </c>
    </row>
    <row r="115" ht="14.25" customHeight="1"/>
    <row r="116" ht="14.25" customHeight="1"/>
    <row r="117" ht="14.25" customHeight="1">
      <c r="A117" s="1" t="s">
        <v>200</v>
      </c>
    </row>
    <row r="118" ht="14.25" customHeight="1">
      <c r="B118" s="2" t="s">
        <v>184</v>
      </c>
      <c r="C118" s="2" t="s">
        <v>185</v>
      </c>
      <c r="D118" s="2" t="s">
        <v>186</v>
      </c>
      <c r="E118" s="2" t="s">
        <v>187</v>
      </c>
      <c r="F118" s="2" t="s">
        <v>188</v>
      </c>
      <c r="G118" s="2" t="s">
        <v>189</v>
      </c>
      <c r="H118" s="2" t="s">
        <v>190</v>
      </c>
      <c r="I118" s="2" t="s">
        <v>191</v>
      </c>
      <c r="J118" s="2" t="s">
        <v>192</v>
      </c>
      <c r="K118" s="2" t="s">
        <v>193</v>
      </c>
      <c r="L118" s="2" t="s">
        <v>194</v>
      </c>
      <c r="M118" s="2" t="s">
        <v>195</v>
      </c>
      <c r="N118" s="2" t="s">
        <v>196</v>
      </c>
      <c r="O118" s="2" t="s">
        <v>197</v>
      </c>
      <c r="P118" s="2" t="s">
        <v>198</v>
      </c>
    </row>
    <row r="119" ht="14.25" customHeight="1">
      <c r="B119" s="4" t="s">
        <v>199</v>
      </c>
      <c r="C119" s="5">
        <v>0.0</v>
      </c>
      <c r="D119" s="5">
        <v>0.0</v>
      </c>
      <c r="E119" s="5">
        <v>0.0</v>
      </c>
      <c r="F119" s="5">
        <v>0.0</v>
      </c>
      <c r="G119" s="5">
        <v>0.0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5">
        <f>-$D$34</f>
        <v>-9576025.875</v>
      </c>
      <c r="N119" s="5">
        <f>-$D$36</f>
        <v>-36363600</v>
      </c>
      <c r="O119" s="5">
        <f t="shared" ref="O119:P119" si="56">M119</f>
        <v>-9576025.875</v>
      </c>
      <c r="P119" s="5">
        <f t="shared" si="56"/>
        <v>-36363600</v>
      </c>
    </row>
    <row r="120" ht="14.25" customHeight="1">
      <c r="B120" s="19">
        <f>Supuestos!$B$25+1-1</f>
        <v>2026</v>
      </c>
      <c r="C120" s="5">
        <f>$D$39*(1+Supuestos!$B$9)^(1-1)</f>
        <v>53790853.96</v>
      </c>
      <c r="D120" s="5">
        <f>IF(B120&lt;=Supuestos!$B$26,$D$38*(1+Supuestos!$B$9)^(1-1),0)</f>
        <v>1649526.96</v>
      </c>
      <c r="E120" s="5">
        <f t="shared" ref="E120:E139" si="58">C120-D120</f>
        <v>52141327</v>
      </c>
      <c r="F120" s="5">
        <f>$D$43*(1+Supuestos!$B$9)^(1-1)*(1-Supuestos!$B$11)^(1-1)</f>
        <v>2636463.295</v>
      </c>
      <c r="G120" s="5">
        <f>$D$44*(1+Supuestos!$B$9)^(1-1)*(1-Supuestos!$B$12)^(1-1)</f>
        <v>11356874.34</v>
      </c>
      <c r="H120" s="5">
        <f>IF(1&lt;=Supuestos!$B$18,$D$42*$D$31*(1+Supuestos!$B$10)^(1-1)*(1-Supuestos!$B$11)^(1-1),0)</f>
        <v>1539363.755</v>
      </c>
      <c r="I120" s="5">
        <f>IF(1&lt;=Supuestos!$B$19,G120*$D$32,0)</f>
        <v>5678437.172</v>
      </c>
      <c r="J120" s="10">
        <f t="shared" ref="J120:J139" si="59">F120+G120-H120-I120</f>
        <v>6775536.712</v>
      </c>
      <c r="K120" s="5">
        <f t="shared" ref="K120:K139" si="60">K119+J120</f>
        <v>6775536.712</v>
      </c>
      <c r="L120" s="8">
        <f t="shared" ref="L120:L139" si="61">IF(E120&gt;0,J120/E120,0)</f>
        <v>0.1299456132</v>
      </c>
      <c r="M120" s="5">
        <f>IF(1&lt;=Supuestos!$B$18,H120-Supuestos!$B$22*$D$26*(1+Supuestos!$B$9)^(1-1),0)</f>
        <v>1279134.255</v>
      </c>
      <c r="N120" s="5">
        <f>IF(1&lt;=Supuestos!$B$19,I120-Supuestos!$B$23*$D$29*(1+Supuestos!$B$9)^(1-1),0)</f>
        <v>4346437.172</v>
      </c>
      <c r="O120" s="5">
        <f t="shared" ref="O120:P120" si="57">O119+M120</f>
        <v>-8296891.62</v>
      </c>
      <c r="P120" s="5">
        <f t="shared" si="57"/>
        <v>-32017162.83</v>
      </c>
    </row>
    <row r="121" ht="14.25" customHeight="1">
      <c r="B121" s="19">
        <f>Supuestos!$B$25+2-1</f>
        <v>2027</v>
      </c>
      <c r="C121" s="5">
        <f>$D$39*(1+Supuestos!$B$9)^(2-1)</f>
        <v>56480396.66</v>
      </c>
      <c r="D121" s="5">
        <f>IF(B121&lt;=Supuestos!$B$26,$D$38*(1+Supuestos!$B$9)^(2-1),0)</f>
        <v>1732003.308</v>
      </c>
      <c r="E121" s="5">
        <f t="shared" si="58"/>
        <v>54748393.35</v>
      </c>
      <c r="F121" s="5">
        <f>$D$43*(1+Supuestos!$B$9)^(2-1)*(1-Supuestos!$B$11)^(2-1)</f>
        <v>2754445.028</v>
      </c>
      <c r="G121" s="5">
        <f>$D$44*(1+Supuestos!$B$9)^(2-1)*(1-Supuestos!$B$12)^(2-1)</f>
        <v>11775659.09</v>
      </c>
      <c r="H121" s="5">
        <f>IF(2&lt;=Supuestos!$B$18,$D$42*$D$31*(1+Supuestos!$B$10)^(2-1)*(1-Supuestos!$B$11)^(2-1),0)</f>
        <v>1608250.283</v>
      </c>
      <c r="I121" s="5">
        <f>IF(2&lt;=Supuestos!$B$19,G121*$D$32,0)</f>
        <v>5887829.543</v>
      </c>
      <c r="J121" s="10">
        <f t="shared" si="59"/>
        <v>7034024.287</v>
      </c>
      <c r="K121" s="5">
        <f t="shared" si="60"/>
        <v>13809561</v>
      </c>
      <c r="L121" s="8">
        <f t="shared" si="61"/>
        <v>0.1284790997</v>
      </c>
      <c r="M121" s="5">
        <f>IF(2&lt;=Supuestos!$B$18,H121-Supuestos!$B$22*$D$26*(1+Supuestos!$B$9)^(2-1),0)</f>
        <v>1335009.308</v>
      </c>
      <c r="N121" s="5">
        <f>IF(2&lt;=Supuestos!$B$19,I121-Supuestos!$B$23*$D$29*(1+Supuestos!$B$9)^(2-1),0)</f>
        <v>4489229.543</v>
      </c>
      <c r="O121" s="5">
        <f t="shared" ref="O121:P121" si="62">O120+M121</f>
        <v>-6961882.312</v>
      </c>
      <c r="P121" s="5">
        <f t="shared" si="62"/>
        <v>-27527933.29</v>
      </c>
    </row>
    <row r="122" ht="14.25" customHeight="1">
      <c r="B122" s="19">
        <f>Supuestos!$B$25+3-1</f>
        <v>2028</v>
      </c>
      <c r="C122" s="5">
        <f>$D$39*(1+Supuestos!$B$9)^(3-1)</f>
        <v>59304416.49</v>
      </c>
      <c r="D122" s="5">
        <f>IF(B122&lt;=Supuestos!$B$26,$D$38*(1+Supuestos!$B$9)^(3-1),0)</f>
        <v>1818603.473</v>
      </c>
      <c r="E122" s="5">
        <f t="shared" si="58"/>
        <v>57485813.02</v>
      </c>
      <c r="F122" s="5">
        <f>$D$43*(1+Supuestos!$B$9)^(3-1)*(1-Supuestos!$B$11)^(3-1)</f>
        <v>2877706.442</v>
      </c>
      <c r="G122" s="5">
        <f>$D$44*(1+Supuestos!$B$9)^(3-1)*(1-Supuestos!$B$12)^(3-1)</f>
        <v>12209886.51</v>
      </c>
      <c r="H122" s="5">
        <f>IF(3&lt;=Supuestos!$B$18,$D$42*$D$31*(1+Supuestos!$B$10)^(3-1)*(1-Supuestos!$B$11)^(3-1),0)</f>
        <v>1680219.483</v>
      </c>
      <c r="I122" s="5">
        <f>IF(3&lt;=Supuestos!$B$19,G122*$D$32,0)</f>
        <v>6104943.257</v>
      </c>
      <c r="J122" s="10">
        <f t="shared" si="59"/>
        <v>7302430.217</v>
      </c>
      <c r="K122" s="5">
        <f t="shared" si="60"/>
        <v>21111991.22</v>
      </c>
      <c r="L122" s="8">
        <f t="shared" si="61"/>
        <v>0.1270301285</v>
      </c>
      <c r="M122" s="5">
        <f>IF(3&lt;=Supuestos!$B$18,H122-Supuestos!$B$22*$D$26*(1+Supuestos!$B$9)^(3-1),0)</f>
        <v>1393316.459</v>
      </c>
      <c r="N122" s="5">
        <f>IF(3&lt;=Supuestos!$B$19,I122-Supuestos!$B$23*$D$29*(1+Supuestos!$B$9)^(3-1),0)</f>
        <v>4636413.257</v>
      </c>
      <c r="O122" s="5">
        <f t="shared" ref="O122:P122" si="63">O121+M122</f>
        <v>-5568565.853</v>
      </c>
      <c r="P122" s="5">
        <f t="shared" si="63"/>
        <v>-22891520.03</v>
      </c>
    </row>
    <row r="123" ht="14.25" customHeight="1">
      <c r="B123" s="19">
        <f>Supuestos!$B$25+4-1</f>
        <v>2029</v>
      </c>
      <c r="C123" s="5">
        <f>$D$39*(1+Supuestos!$B$9)^(4-1)</f>
        <v>62269637.32</v>
      </c>
      <c r="D123" s="5">
        <f>IF(B123&lt;=Supuestos!$B$26,$D$38*(1+Supuestos!$B$9)^(4-1),0)</f>
        <v>1909533.647</v>
      </c>
      <c r="E123" s="5">
        <f t="shared" si="58"/>
        <v>60360103.67</v>
      </c>
      <c r="F123" s="5">
        <f>$D$43*(1+Supuestos!$B$9)^(4-1)*(1-Supuestos!$B$11)^(4-1)</f>
        <v>3006483.806</v>
      </c>
      <c r="G123" s="5">
        <f>$D$44*(1+Supuestos!$B$9)^(4-1)*(1-Supuestos!$B$12)^(4-1)</f>
        <v>12660126.08</v>
      </c>
      <c r="H123" s="5">
        <f>IF(4&lt;=Supuestos!$B$18,$D$42*$D$31*(1+Supuestos!$B$10)^(4-1)*(1-Supuestos!$B$11)^(4-1),0)</f>
        <v>1755409.305</v>
      </c>
      <c r="I123" s="5">
        <f>IF(4&lt;=Supuestos!$B$19,G123*$D$32,0)</f>
        <v>6330063.04</v>
      </c>
      <c r="J123" s="10">
        <f t="shared" si="59"/>
        <v>7581137.541</v>
      </c>
      <c r="K123" s="5">
        <f t="shared" si="60"/>
        <v>28693128.76</v>
      </c>
      <c r="L123" s="8">
        <f t="shared" si="61"/>
        <v>0.1255984844</v>
      </c>
      <c r="M123" s="5">
        <f>IF(4&lt;=Supuestos!$B$18,H123-Supuestos!$B$22*$D$26*(1+Supuestos!$B$9)^(4-1),0)</f>
        <v>1454161.13</v>
      </c>
      <c r="N123" s="5">
        <f>IF(4&lt;=Supuestos!$B$19,I123-Supuestos!$B$23*$D$29*(1+Supuestos!$B$9)^(4-1),0)</f>
        <v>4788106.54</v>
      </c>
      <c r="O123" s="5">
        <f t="shared" ref="O123:P123" si="64">O122+M123</f>
        <v>-4114404.723</v>
      </c>
      <c r="P123" s="5">
        <f t="shared" si="64"/>
        <v>-18103413.49</v>
      </c>
    </row>
    <row r="124" ht="14.25" customHeight="1">
      <c r="B124" s="19">
        <f>Supuestos!$B$25+5-1</f>
        <v>2030</v>
      </c>
      <c r="C124" s="5">
        <f>$D$39*(1+Supuestos!$B$9)^(5-1)</f>
        <v>65383119.18</v>
      </c>
      <c r="D124" s="5">
        <f>IF(B124&lt;=Supuestos!$B$26,$D$38*(1+Supuestos!$B$9)^(5-1),0)</f>
        <v>2005010.329</v>
      </c>
      <c r="E124" s="5">
        <f t="shared" si="58"/>
        <v>63378108.85</v>
      </c>
      <c r="F124" s="5">
        <f>$D$43*(1+Supuestos!$B$9)^(5-1)*(1-Supuestos!$B$11)^(5-1)</f>
        <v>3141023.956</v>
      </c>
      <c r="G124" s="5">
        <f>$D$44*(1+Supuestos!$B$9)^(5-1)*(1-Supuestos!$B$12)^(5-1)</f>
        <v>13126968.23</v>
      </c>
      <c r="H124" s="5">
        <f>IF(5&lt;=Supuestos!$B$18,$D$42*$D$31*(1+Supuestos!$B$10)^(5-1)*(1-Supuestos!$B$11)^(5-1),0)</f>
        <v>1833963.871</v>
      </c>
      <c r="I124" s="5">
        <f>IF(5&lt;=Supuestos!$B$19,G124*$D$32,0)</f>
        <v>6563484.114</v>
      </c>
      <c r="J124" s="10">
        <f t="shared" si="59"/>
        <v>7870544.199</v>
      </c>
      <c r="K124" s="5">
        <f t="shared" si="60"/>
        <v>36563672.96</v>
      </c>
      <c r="L124" s="8">
        <f t="shared" si="61"/>
        <v>0.1241839547</v>
      </c>
      <c r="M124" s="5">
        <f>IF(5&lt;=Supuestos!$B$18,H124-Supuestos!$B$22*$D$26*(1+Supuestos!$B$9)^(5-1),0)</f>
        <v>1517653.288</v>
      </c>
      <c r="N124" s="5">
        <f>IF(5&lt;=Supuestos!$B$19,I124-Supuestos!$B$23*$D$29*(1+Supuestos!$B$9)^(5-1),0)</f>
        <v>4944429.789</v>
      </c>
      <c r="O124" s="5">
        <f t="shared" ref="O124:P124" si="65">O123+M124</f>
        <v>-2596751.435</v>
      </c>
      <c r="P124" s="5">
        <f t="shared" si="65"/>
        <v>-13158983.7</v>
      </c>
    </row>
    <row r="125" ht="14.25" customHeight="1">
      <c r="B125" s="19">
        <f>Supuestos!$B$25+6-1</f>
        <v>2031</v>
      </c>
      <c r="C125" s="5">
        <f>$D$39*(1+Supuestos!$B$9)^(6-1)</f>
        <v>68652275.14</v>
      </c>
      <c r="D125" s="5">
        <f>IF(B125&lt;=Supuestos!$B$26,$D$38*(1+Supuestos!$B$9)^(6-1),0)</f>
        <v>2105260.846</v>
      </c>
      <c r="E125" s="5">
        <f t="shared" si="58"/>
        <v>66547014.29</v>
      </c>
      <c r="F125" s="5">
        <f>$D$43*(1+Supuestos!$B$9)^(6-1)*(1-Supuestos!$B$11)^(6-1)</f>
        <v>3281584.778</v>
      </c>
      <c r="G125" s="5">
        <f>$D$44*(1+Supuestos!$B$9)^(6-1)*(1-Supuestos!$B$12)^(6-1)</f>
        <v>13611025.18</v>
      </c>
      <c r="H125" s="5">
        <f>IF(6&lt;=Supuestos!$B$18,$D$42*$D$31*(1+Supuestos!$B$10)^(6-1)*(1-Supuestos!$B$11)^(6-1),0)</f>
        <v>1916033.755</v>
      </c>
      <c r="I125" s="5">
        <f>IF(6&lt;=Supuestos!$B$19,G125*$D$32,0)</f>
        <v>6805512.591</v>
      </c>
      <c r="J125" s="10">
        <f t="shared" si="59"/>
        <v>8171063.615</v>
      </c>
      <c r="K125" s="5">
        <f t="shared" si="60"/>
        <v>44734736.57</v>
      </c>
      <c r="L125" s="8">
        <f t="shared" si="61"/>
        <v>0.1227863294</v>
      </c>
      <c r="M125" s="5">
        <f>IF(6&lt;=Supuestos!$B$18,H125-Supuestos!$B$22*$D$26*(1+Supuestos!$B$9)^(6-1),0)</f>
        <v>1583907.642</v>
      </c>
      <c r="N125" s="5">
        <f>IF(6&lt;=Supuestos!$B$19,I125-Supuestos!$B$23*$D$29*(1+Supuestos!$B$9)^(6-1),0)</f>
        <v>5105505.55</v>
      </c>
      <c r="O125" s="5">
        <f t="shared" ref="O125:P125" si="66">O124+M125</f>
        <v>-1012843.794</v>
      </c>
      <c r="P125" s="5">
        <f t="shared" si="66"/>
        <v>-8053478.149</v>
      </c>
    </row>
    <row r="126" ht="14.25" customHeight="1">
      <c r="B126" s="19">
        <f>Supuestos!$B$25+7-1</f>
        <v>2032</v>
      </c>
      <c r="C126" s="5">
        <f>$D$39*(1+Supuestos!$B$9)^(7-1)</f>
        <v>72084888.9</v>
      </c>
      <c r="D126" s="5">
        <f>IF(B126&lt;=Supuestos!$B$26,$D$38*(1+Supuestos!$B$9)^(7-1),0)</f>
        <v>2210523.888</v>
      </c>
      <c r="E126" s="5">
        <f t="shared" si="58"/>
        <v>69874365.01</v>
      </c>
      <c r="F126" s="5">
        <f>$D$43*(1+Supuestos!$B$9)^(7-1)*(1-Supuestos!$B$11)^(7-1)</f>
        <v>3428435.697</v>
      </c>
      <c r="G126" s="5">
        <f>$D$44*(1+Supuestos!$B$9)^(7-1)*(1-Supuestos!$B$12)^(7-1)</f>
        <v>14112931.74</v>
      </c>
      <c r="H126" s="5">
        <f>IF(7&lt;=Supuestos!$B$18,$D$42*$D$31*(1+Supuestos!$B$10)^(7-1)*(1-Supuestos!$B$11)^(7-1),0)</f>
        <v>2001776.265</v>
      </c>
      <c r="I126" s="5">
        <f>IF(7&lt;=Supuestos!$B$19,G126*$D$32,0)</f>
        <v>7056465.868</v>
      </c>
      <c r="J126" s="10">
        <f t="shared" si="59"/>
        <v>8483125.3</v>
      </c>
      <c r="K126" s="5">
        <f t="shared" si="60"/>
        <v>53217861.87</v>
      </c>
      <c r="L126" s="8">
        <f t="shared" si="61"/>
        <v>0.1214054009</v>
      </c>
      <c r="M126" s="5">
        <f>IF(7&lt;=Supuestos!$B$18,H126-Supuestos!$B$22*$D$26*(1+Supuestos!$B$9)^(7-1),0)</f>
        <v>1653043.847</v>
      </c>
      <c r="N126" s="5">
        <f>IF(7&lt;=Supuestos!$B$19,I126-Supuestos!$B$23*$D$29*(1+Supuestos!$B$9)^(7-1),0)</f>
        <v>5271458.474</v>
      </c>
      <c r="O126" s="5">
        <f t="shared" ref="O126:P126" si="67">O125+M126</f>
        <v>640200.0531</v>
      </c>
      <c r="P126" s="5">
        <f t="shared" si="67"/>
        <v>-2782019.675</v>
      </c>
    </row>
    <row r="127" ht="14.25" customHeight="1">
      <c r="B127" s="19">
        <f>Supuestos!$B$25+8-1</f>
        <v>2033</v>
      </c>
      <c r="C127" s="5">
        <f>$D$39*(1+Supuestos!$B$9)^(8-1)</f>
        <v>75689133.34</v>
      </c>
      <c r="D127" s="5">
        <f>IF(B127&lt;=Supuestos!$B$26,$D$38*(1+Supuestos!$B$9)^(8-1),0)</f>
        <v>0</v>
      </c>
      <c r="E127" s="5">
        <f t="shared" si="58"/>
        <v>75689133.34</v>
      </c>
      <c r="F127" s="5">
        <f>$D$43*(1+Supuestos!$B$9)^(8-1)*(1-Supuestos!$B$11)^(8-1)</f>
        <v>3581858.194</v>
      </c>
      <c r="G127" s="5">
        <f>$D$44*(1+Supuestos!$B$9)^(8-1)*(1-Supuestos!$B$12)^(8-1)</f>
        <v>14633346.09</v>
      </c>
      <c r="H127" s="5">
        <f>IF(8&lt;=Supuestos!$B$18,$D$42*$D$31*(1+Supuestos!$B$10)^(8-1)*(1-Supuestos!$B$11)^(8-1),0)</f>
        <v>2091355.753</v>
      </c>
      <c r="I127" s="5">
        <f>IF(8&lt;=Supuestos!$B$19,G127*$D$32,0)</f>
        <v>7316673.047</v>
      </c>
      <c r="J127" s="10">
        <f t="shared" si="59"/>
        <v>8807175.488</v>
      </c>
      <c r="K127" s="5">
        <f t="shared" si="60"/>
        <v>62025037.36</v>
      </c>
      <c r="L127" s="8">
        <f t="shared" si="61"/>
        <v>0.1163598406</v>
      </c>
      <c r="M127" s="5">
        <f>IF(8&lt;=Supuestos!$B$18,H127-Supuestos!$B$22*$D$26*(1+Supuestos!$B$9)^(8-1),0)</f>
        <v>1725186.714</v>
      </c>
      <c r="N127" s="5">
        <f>IF(8&lt;=Supuestos!$B$19,I127-Supuestos!$B$23*$D$29*(1+Supuestos!$B$9)^(8-1),0)</f>
        <v>5442415.284</v>
      </c>
      <c r="O127" s="5">
        <f t="shared" ref="O127:P127" si="68">O126+M127</f>
        <v>2365386.767</v>
      </c>
      <c r="P127" s="5">
        <f t="shared" si="68"/>
        <v>2660395.609</v>
      </c>
    </row>
    <row r="128" ht="14.25" customHeight="1">
      <c r="B128" s="19">
        <f>Supuestos!$B$25+9-1</f>
        <v>2034</v>
      </c>
      <c r="C128" s="5">
        <f>$D$39*(1+Supuestos!$B$9)^(9-1)</f>
        <v>79473590.01</v>
      </c>
      <c r="D128" s="5">
        <f>IF(B128&lt;=Supuestos!$B$26,$D$38*(1+Supuestos!$B$9)^(9-1),0)</f>
        <v>0</v>
      </c>
      <c r="E128" s="5">
        <f t="shared" si="58"/>
        <v>79473590.01</v>
      </c>
      <c r="F128" s="5">
        <f>$D$43*(1+Supuestos!$B$9)^(9-1)*(1-Supuestos!$B$11)^(9-1)</f>
        <v>3742146.349</v>
      </c>
      <c r="G128" s="5">
        <f>$D$44*(1+Supuestos!$B$9)^(9-1)*(1-Supuestos!$B$12)^(9-1)</f>
        <v>15172950.73</v>
      </c>
      <c r="H128" s="5">
        <f>IF(9&lt;=Supuestos!$B$18,$D$42*$D$31*(1+Supuestos!$B$10)^(9-1)*(1-Supuestos!$B$11)^(9-1),0)</f>
        <v>2184943.923</v>
      </c>
      <c r="I128" s="5">
        <f>IF(9&lt;=Supuestos!$B$19,G128*$D$32,0)</f>
        <v>7586475.365</v>
      </c>
      <c r="J128" s="10">
        <f t="shared" si="59"/>
        <v>9143677.791</v>
      </c>
      <c r="K128" s="5">
        <f t="shared" si="60"/>
        <v>71168715.15</v>
      </c>
      <c r="L128" s="8">
        <f t="shared" si="61"/>
        <v>0.1150530357</v>
      </c>
      <c r="M128" s="5">
        <f>IF(9&lt;=Supuestos!$B$18,H128-Supuestos!$B$22*$D$26*(1+Supuestos!$B$9)^(9-1),0)</f>
        <v>1800466.431</v>
      </c>
      <c r="N128" s="5">
        <f>IF(9&lt;=Supuestos!$B$19,I128-Supuestos!$B$23*$D$29*(1+Supuestos!$B$9)^(9-1),0)</f>
        <v>5618504.714</v>
      </c>
      <c r="O128" s="5">
        <f t="shared" ref="O128:P128" si="69">O127+M128</f>
        <v>4165853.198</v>
      </c>
      <c r="P128" s="5">
        <f t="shared" si="69"/>
        <v>8278900.323</v>
      </c>
    </row>
    <row r="129" ht="14.25" customHeight="1">
      <c r="B129" s="19">
        <f>Supuestos!$B$25+10-1</f>
        <v>2035</v>
      </c>
      <c r="C129" s="5">
        <f>$D$39*(1+Supuestos!$B$9)^(10-1)</f>
        <v>83447269.51</v>
      </c>
      <c r="D129" s="5">
        <f>IF(B129&lt;=Supuestos!$B$26,$D$38*(1+Supuestos!$B$9)^(10-1),0)</f>
        <v>0</v>
      </c>
      <c r="E129" s="5">
        <f t="shared" si="58"/>
        <v>83447269.51</v>
      </c>
      <c r="F129" s="5">
        <f>$D$43*(1+Supuestos!$B$9)^(10-1)*(1-Supuestos!$B$11)^(10-1)</f>
        <v>3909607.398</v>
      </c>
      <c r="G129" s="5">
        <f>$D$44*(1+Supuestos!$B$9)^(10-1)*(1-Supuestos!$B$12)^(10-1)</f>
        <v>15732453.29</v>
      </c>
      <c r="H129" s="5">
        <f>IF(10&lt;=Supuestos!$B$18,$D$42*$D$31*(1+Supuestos!$B$10)^(10-1)*(1-Supuestos!$B$11)^(10-1),0)</f>
        <v>2282720.163</v>
      </c>
      <c r="I129" s="5">
        <f>IF(10&lt;=Supuestos!$B$19,G129*$D$32,0)</f>
        <v>7866226.644</v>
      </c>
      <c r="J129" s="10">
        <f t="shared" si="59"/>
        <v>9493113.879</v>
      </c>
      <c r="K129" s="5">
        <f t="shared" si="60"/>
        <v>80661829.03</v>
      </c>
      <c r="L129" s="8">
        <f t="shared" si="61"/>
        <v>0.1137618275</v>
      </c>
      <c r="M129" s="5">
        <f>IF(10&lt;=Supuestos!$B$18,H129-Supuestos!$B$22*$D$26*(1+Supuestos!$B$9)^(10-1),0)</f>
        <v>1879018.797</v>
      </c>
      <c r="N129" s="5">
        <f>IF(10&lt;=Supuestos!$B$19,I129-Supuestos!$B$23*$D$29*(1+Supuestos!$B$9)^(10-1),0)</f>
        <v>5799857.461</v>
      </c>
      <c r="O129" s="5">
        <f t="shared" ref="O129:P129" si="70">O128+M129</f>
        <v>6044871.996</v>
      </c>
      <c r="P129" s="5">
        <f t="shared" si="70"/>
        <v>14078757.78</v>
      </c>
    </row>
    <row r="130" ht="14.25" customHeight="1">
      <c r="B130" s="19">
        <f>Supuestos!$B$25+11-1</f>
        <v>2036</v>
      </c>
      <c r="C130" s="5">
        <f>$D$39*(1+Supuestos!$B$9)^(11-1)</f>
        <v>87619632.99</v>
      </c>
      <c r="D130" s="5">
        <f>IF(B130&lt;=Supuestos!$B$26,$D$38*(1+Supuestos!$B$9)^(11-1),0)</f>
        <v>0</v>
      </c>
      <c r="E130" s="5">
        <f t="shared" si="58"/>
        <v>87619632.99</v>
      </c>
      <c r="F130" s="5">
        <f>$D$43*(1+Supuestos!$B$9)^(11-1)*(1-Supuestos!$B$11)^(11-1)</f>
        <v>4084562.329</v>
      </c>
      <c r="G130" s="5">
        <f>$D$44*(1+Supuestos!$B$9)^(11-1)*(1-Supuestos!$B$12)^(11-1)</f>
        <v>16312587.5</v>
      </c>
      <c r="H130" s="5">
        <f>IF(11&lt;=Supuestos!$B$18,$D$42*$D$31*(1+Supuestos!$B$10)^(11-1)*(1-Supuestos!$B$11)^(11-1),0)</f>
        <v>2384871.891</v>
      </c>
      <c r="I130" s="5">
        <f>IF(11&lt;=Supuestos!$B$19,G130*$D$32,0)</f>
        <v>8156293.752</v>
      </c>
      <c r="J130" s="10">
        <f t="shared" si="59"/>
        <v>9855984.19</v>
      </c>
      <c r="K130" s="5">
        <f t="shared" si="60"/>
        <v>90517813.22</v>
      </c>
      <c r="L130" s="8">
        <f t="shared" si="61"/>
        <v>0.1124860246</v>
      </c>
      <c r="M130" s="5">
        <f>IF(11&lt;=Supuestos!$B$18,H130-Supuestos!$B$22*$D$26*(1+Supuestos!$B$9)^(11-1),0)</f>
        <v>1960985.456</v>
      </c>
      <c r="N130" s="5">
        <f>IF(11&lt;=Supuestos!$B$19,I130-Supuestos!$B$23*$D$29*(1+Supuestos!$B$9)^(11-1),0)</f>
        <v>5986606.109</v>
      </c>
      <c r="O130" s="5">
        <f t="shared" ref="O130:P130" si="71">O129+M130</f>
        <v>8005857.452</v>
      </c>
      <c r="P130" s="5">
        <f t="shared" si="71"/>
        <v>20065363.89</v>
      </c>
    </row>
    <row r="131" ht="14.25" customHeight="1">
      <c r="B131" s="19">
        <f>Supuestos!$B$25+12-1</f>
        <v>2037</v>
      </c>
      <c r="C131" s="5">
        <f>$D$39*(1+Supuestos!$B$9)^(12-1)</f>
        <v>92000614.63</v>
      </c>
      <c r="D131" s="5">
        <f>IF(B131&lt;=Supuestos!$B$26,$D$38*(1+Supuestos!$B$9)^(12-1),0)</f>
        <v>0</v>
      </c>
      <c r="E131" s="5">
        <f t="shared" si="58"/>
        <v>92000614.63</v>
      </c>
      <c r="F131" s="5">
        <f>$D$43*(1+Supuestos!$B$9)^(12-1)*(1-Supuestos!$B$11)^(12-1)</f>
        <v>4267346.493</v>
      </c>
      <c r="G131" s="5">
        <f>$D$44*(1+Supuestos!$B$9)^(12-1)*(1-Supuestos!$B$12)^(12-1)</f>
        <v>16914114.17</v>
      </c>
      <c r="H131" s="5">
        <f>IF(12&lt;=Supuestos!$B$18,$D$42*$D$31*(1+Supuestos!$B$10)^(12-1)*(1-Supuestos!$B$11)^(12-1),0)</f>
        <v>2491594.908</v>
      </c>
      <c r="I131" s="5">
        <f>IF(12&lt;=Supuestos!$B$19,G131*$D$32,0)</f>
        <v>8457057.084</v>
      </c>
      <c r="J131" s="10">
        <f t="shared" si="59"/>
        <v>10232808.67</v>
      </c>
      <c r="K131" s="5">
        <f t="shared" si="60"/>
        <v>100750621.9</v>
      </c>
      <c r="L131" s="8">
        <f t="shared" si="61"/>
        <v>0.1112254381</v>
      </c>
      <c r="M131" s="5">
        <f>IF(12&lt;=Supuestos!$B$18,H131-Supuestos!$B$22*$D$26*(1+Supuestos!$B$9)^(12-1),0)</f>
        <v>2046514.152</v>
      </c>
      <c r="N131" s="5">
        <f>IF(12&lt;=Supuestos!$B$19,I131-Supuestos!$B$23*$D$29*(1+Supuestos!$B$9)^(12-1),0)</f>
        <v>6178885.059</v>
      </c>
      <c r="O131" s="5">
        <f t="shared" ref="O131:P131" si="72">O130+M131</f>
        <v>10052371.6</v>
      </c>
      <c r="P131" s="5">
        <f t="shared" si="72"/>
        <v>26244248.95</v>
      </c>
    </row>
    <row r="132" ht="14.25" customHeight="1">
      <c r="B132" s="19">
        <f>Supuestos!$B$25+13-1</f>
        <v>2038</v>
      </c>
      <c r="C132" s="5">
        <f>$D$39*(1+Supuestos!$B$9)^(13-1)</f>
        <v>96600645.37</v>
      </c>
      <c r="D132" s="5">
        <f>IF(B132&lt;=Supuestos!$B$26,$D$38*(1+Supuestos!$B$9)^(13-1),0)</f>
        <v>0</v>
      </c>
      <c r="E132" s="5">
        <f t="shared" si="58"/>
        <v>96600645.37</v>
      </c>
      <c r="F132" s="5">
        <f>$D$43*(1+Supuestos!$B$9)^(13-1)*(1-Supuestos!$B$11)^(13-1)</f>
        <v>4458310.249</v>
      </c>
      <c r="G132" s="5">
        <f>$D$44*(1+Supuestos!$B$9)^(13-1)*(1-Supuestos!$B$12)^(13-1)</f>
        <v>17537822.13</v>
      </c>
      <c r="H132" s="5">
        <f>IF(13&lt;=Supuestos!$B$18,$D$42*$D$31*(1+Supuestos!$B$10)^(13-1)*(1-Supuestos!$B$11)^(13-1),0)</f>
        <v>2603093.78</v>
      </c>
      <c r="I132" s="5">
        <f>IF(13&lt;=Supuestos!$B$19,G132*$D$32,0)</f>
        <v>8768911.064</v>
      </c>
      <c r="J132" s="10">
        <f t="shared" si="59"/>
        <v>10624127.53</v>
      </c>
      <c r="K132" s="5">
        <f t="shared" si="60"/>
        <v>111374749.4</v>
      </c>
      <c r="L132" s="8">
        <f t="shared" si="61"/>
        <v>0.1099798815</v>
      </c>
      <c r="M132" s="5">
        <f>IF(13&lt;=Supuestos!$B$18,H132-Supuestos!$B$22*$D$26*(1+Supuestos!$B$9)^(13-1),0)</f>
        <v>2135758.986</v>
      </c>
      <c r="N132" s="5">
        <f>IF(13&lt;=Supuestos!$B$19,I132-Supuestos!$B$23*$D$29*(1+Supuestos!$B$9)^(13-1),0)</f>
        <v>6376830.438</v>
      </c>
      <c r="O132" s="5">
        <f t="shared" ref="O132:P132" si="73">O131+M132</f>
        <v>12188130.59</v>
      </c>
      <c r="P132" s="5">
        <f t="shared" si="73"/>
        <v>32621079.39</v>
      </c>
    </row>
    <row r="133" ht="14.25" customHeight="1">
      <c r="B133" s="19">
        <f>Supuestos!$B$25+14-1</f>
        <v>2039</v>
      </c>
      <c r="C133" s="5">
        <f>$D$39*(1+Supuestos!$B$9)^(14-1)</f>
        <v>101430677.6</v>
      </c>
      <c r="D133" s="5">
        <f>IF(B133&lt;=Supuestos!$B$26,$D$38*(1+Supuestos!$B$9)^(14-1),0)</f>
        <v>0</v>
      </c>
      <c r="E133" s="5">
        <f t="shared" si="58"/>
        <v>101430677.6</v>
      </c>
      <c r="F133" s="5">
        <f>$D$43*(1+Supuestos!$B$9)^(14-1)*(1-Supuestos!$B$11)^(14-1)</f>
        <v>4657819.632</v>
      </c>
      <c r="G133" s="5">
        <f>$D$44*(1+Supuestos!$B$9)^(14-1)*(1-Supuestos!$B$12)^(14-1)</f>
        <v>18184529.32</v>
      </c>
      <c r="H133" s="5">
        <f>IF(14&lt;=Supuestos!$B$18,$D$42*$D$31*(1+Supuestos!$B$10)^(14-1)*(1-Supuestos!$B$11)^(14-1),0)</f>
        <v>2719582.227</v>
      </c>
      <c r="I133" s="5">
        <f>IF(14&lt;=Supuestos!$B$19,G133*$D$32,0)</f>
        <v>9092264.659</v>
      </c>
      <c r="J133" s="10">
        <f t="shared" si="59"/>
        <v>11030502.06</v>
      </c>
      <c r="K133" s="5">
        <f t="shared" si="60"/>
        <v>122405251.5</v>
      </c>
      <c r="L133" s="8">
        <f t="shared" si="61"/>
        <v>0.1087491706</v>
      </c>
      <c r="M133" s="5">
        <f>IF(14&lt;=Supuestos!$B$18,H133-Supuestos!$B$22*$D$26*(1+Supuestos!$B$9)^(14-1),0)</f>
        <v>2228880.693</v>
      </c>
      <c r="N133" s="5">
        <f>IF(14&lt;=Supuestos!$B$19,I133-Supuestos!$B$23*$D$29*(1+Supuestos!$B$9)^(14-1),0)</f>
        <v>6580580.002</v>
      </c>
      <c r="O133" s="5">
        <f t="shared" ref="O133:P133" si="74">O132+M133</f>
        <v>14417011.28</v>
      </c>
      <c r="P133" s="5">
        <f t="shared" si="74"/>
        <v>39201659.39</v>
      </c>
    </row>
    <row r="134" ht="14.25" customHeight="1">
      <c r="B134" s="19">
        <f>Supuestos!$B$25+15-1</f>
        <v>2040</v>
      </c>
      <c r="C134" s="5">
        <f>$D$39*(1+Supuestos!$B$9)^(15-1)</f>
        <v>106502211.5</v>
      </c>
      <c r="D134" s="5">
        <f>IF(B134&lt;=Supuestos!$B$26,$D$38*(1+Supuestos!$B$9)^(15-1),0)</f>
        <v>0</v>
      </c>
      <c r="E134" s="5">
        <f t="shared" si="58"/>
        <v>106502211.5</v>
      </c>
      <c r="F134" s="5">
        <f>$D$43*(1+Supuestos!$B$9)^(15-1)*(1-Supuestos!$B$11)^(15-1)</f>
        <v>4866257.061</v>
      </c>
      <c r="G134" s="5">
        <f>$D$44*(1+Supuestos!$B$9)^(15-1)*(1-Supuestos!$B$12)^(15-1)</f>
        <v>18855083.84</v>
      </c>
      <c r="H134" s="5">
        <f>IF(15&lt;=Supuestos!$B$18,$D$42*$D$31*(1+Supuestos!$B$10)^(15-1)*(1-Supuestos!$B$11)^(15-1),0)</f>
        <v>2841283.531</v>
      </c>
      <c r="I134" s="5">
        <f>IF(15&lt;=Supuestos!$B$19,G134*$D$32,0)</f>
        <v>9427541.919</v>
      </c>
      <c r="J134" s="10">
        <f t="shared" si="59"/>
        <v>11452515.45</v>
      </c>
      <c r="K134" s="5">
        <f t="shared" si="60"/>
        <v>133857766.9</v>
      </c>
      <c r="L134" s="8">
        <f t="shared" si="61"/>
        <v>0.1075331234</v>
      </c>
      <c r="M134" s="5">
        <f>IF(15&lt;=Supuestos!$B$18,H134-Supuestos!$B$22*$D$26*(1+Supuestos!$B$9)^(15-1),0)</f>
        <v>2326046.921</v>
      </c>
      <c r="N134" s="5">
        <f>IF(15&lt;=Supuestos!$B$19,I134-Supuestos!$B$23*$D$29*(1+Supuestos!$B$9)^(15-1),0)</f>
        <v>6790273.028</v>
      </c>
      <c r="O134" s="5">
        <f t="shared" ref="O134:P134" si="75">O133+M134</f>
        <v>16743058.2</v>
      </c>
      <c r="P134" s="5">
        <f t="shared" si="75"/>
        <v>45991932.42</v>
      </c>
    </row>
    <row r="135" ht="14.25" customHeight="1">
      <c r="B135" s="19">
        <f>Supuestos!$B$25+16-1</f>
        <v>2041</v>
      </c>
      <c r="C135" s="5">
        <f>$D$39*(1+Supuestos!$B$9)^(16-1)</f>
        <v>111827322.1</v>
      </c>
      <c r="D135" s="5">
        <f>IF(B135&lt;=Supuestos!$B$26,$D$38*(1+Supuestos!$B$9)^(16-1),0)</f>
        <v>0</v>
      </c>
      <c r="E135" s="5">
        <f t="shared" si="58"/>
        <v>111827322.1</v>
      </c>
      <c r="F135" s="5">
        <f>$D$43*(1+Supuestos!$B$9)^(16-1)*(1-Supuestos!$B$11)^(16-1)</f>
        <v>5084022.064</v>
      </c>
      <c r="G135" s="5">
        <f>$D$44*(1+Supuestos!$B$9)^(16-1)*(1-Supuestos!$B$12)^(16-1)</f>
        <v>19550365.05</v>
      </c>
      <c r="H135" s="5">
        <f>IF(16&lt;=Supuestos!$B$18,$D$42*$D$31*(1+Supuestos!$B$10)^(16-1)*(1-Supuestos!$B$11)^(16-1),0)</f>
        <v>0</v>
      </c>
      <c r="I135" s="5">
        <f>IF(16&lt;=Supuestos!$B$19,G135*$D$32,0)</f>
        <v>0</v>
      </c>
      <c r="J135" s="10">
        <f t="shared" si="59"/>
        <v>24634387.12</v>
      </c>
      <c r="K135" s="5">
        <f t="shared" si="60"/>
        <v>158492154.1</v>
      </c>
      <c r="L135" s="8">
        <f t="shared" si="61"/>
        <v>0.2202895201</v>
      </c>
      <c r="M135" s="5">
        <f>IF(16&lt;=Supuestos!$B$18,H135-Supuestos!$B$22*$D$26*(1+Supuestos!$B$9)^(16-1),0)</f>
        <v>0</v>
      </c>
      <c r="N135" s="5">
        <f>IF(16&lt;=Supuestos!$B$19,I135-Supuestos!$B$23*$D$29*(1+Supuestos!$B$9)^(16-1),0)</f>
        <v>0</v>
      </c>
      <c r="O135" s="5">
        <f t="shared" ref="O135:P135" si="76">O134+M135</f>
        <v>16743058.2</v>
      </c>
      <c r="P135" s="5">
        <f t="shared" si="76"/>
        <v>45991932.42</v>
      </c>
    </row>
    <row r="136" ht="14.25" customHeight="1">
      <c r="B136" s="19">
        <f>Supuestos!$B$25+17-1</f>
        <v>2042</v>
      </c>
      <c r="C136" s="5">
        <f>$D$39*(1+Supuestos!$B$9)^(17-1)</f>
        <v>117418688.2</v>
      </c>
      <c r="D136" s="5">
        <f>IF(B136&lt;=Supuestos!$B$26,$D$38*(1+Supuestos!$B$9)^(17-1),0)</f>
        <v>0</v>
      </c>
      <c r="E136" s="5">
        <f t="shared" si="58"/>
        <v>117418688.2</v>
      </c>
      <c r="F136" s="5">
        <f>$D$43*(1+Supuestos!$B$9)^(17-1)*(1-Supuestos!$B$11)^(17-1)</f>
        <v>5311532.052</v>
      </c>
      <c r="G136" s="5">
        <f>$D$44*(1+Supuestos!$B$9)^(17-1)*(1-Supuestos!$B$12)^(17-1)</f>
        <v>20271284.77</v>
      </c>
      <c r="H136" s="5">
        <f>IF(17&lt;=Supuestos!$B$18,$D$42*$D$31*(1+Supuestos!$B$10)^(17-1)*(1-Supuestos!$B$11)^(17-1),0)</f>
        <v>0</v>
      </c>
      <c r="I136" s="5">
        <f>IF(17&lt;=Supuestos!$B$19,G136*$D$32,0)</f>
        <v>0</v>
      </c>
      <c r="J136" s="10">
        <f t="shared" si="59"/>
        <v>25582816.82</v>
      </c>
      <c r="K136" s="5">
        <f t="shared" si="60"/>
        <v>184074970.9</v>
      </c>
      <c r="L136" s="8">
        <f t="shared" si="61"/>
        <v>0.2178768747</v>
      </c>
      <c r="M136" s="5">
        <f>IF(17&lt;=Supuestos!$B$18,H136-Supuestos!$B$22*$D$26*(1+Supuestos!$B$9)^(17-1),0)</f>
        <v>0</v>
      </c>
      <c r="N136" s="5">
        <f>IF(17&lt;=Supuestos!$B$19,I136-Supuestos!$B$23*$D$29*(1+Supuestos!$B$9)^(17-1),0)</f>
        <v>0</v>
      </c>
      <c r="O136" s="5">
        <f t="shared" ref="O136:P136" si="77">O135+M136</f>
        <v>16743058.2</v>
      </c>
      <c r="P136" s="5">
        <f t="shared" si="77"/>
        <v>45991932.42</v>
      </c>
    </row>
    <row r="137" ht="14.25" customHeight="1">
      <c r="B137" s="19">
        <f>Supuestos!$B$25+18-1</f>
        <v>2043</v>
      </c>
      <c r="C137" s="5">
        <f>$D$39*(1+Supuestos!$B$9)^(18-1)</f>
        <v>123289622.6</v>
      </c>
      <c r="D137" s="5">
        <f>IF(B137&lt;=Supuestos!$B$26,$D$38*(1+Supuestos!$B$9)^(18-1),0)</f>
        <v>0</v>
      </c>
      <c r="E137" s="5">
        <f t="shared" si="58"/>
        <v>123289622.6</v>
      </c>
      <c r="F137" s="5">
        <f>$D$43*(1+Supuestos!$B$9)^(18-1)*(1-Supuestos!$B$11)^(18-1)</f>
        <v>5549223.111</v>
      </c>
      <c r="G137" s="5">
        <f>$D$44*(1+Supuestos!$B$9)^(18-1)*(1-Supuestos!$B$12)^(18-1)</f>
        <v>21018788.39</v>
      </c>
      <c r="H137" s="5">
        <f>IF(18&lt;=Supuestos!$B$18,$D$42*$D$31*(1+Supuestos!$B$10)^(18-1)*(1-Supuestos!$B$11)^(18-1),0)</f>
        <v>0</v>
      </c>
      <c r="I137" s="5">
        <f>IF(18&lt;=Supuestos!$B$19,G137*$D$32,0)</f>
        <v>0</v>
      </c>
      <c r="J137" s="10">
        <f t="shared" si="59"/>
        <v>26568011.5</v>
      </c>
      <c r="K137" s="5">
        <f t="shared" si="60"/>
        <v>210642982.4</v>
      </c>
      <c r="L137" s="8">
        <f t="shared" si="61"/>
        <v>0.2154926825</v>
      </c>
      <c r="M137" s="5">
        <f>IF(18&lt;=Supuestos!$B$18,H137-Supuestos!$B$22*$D$26*(1+Supuestos!$B$9)^(18-1),0)</f>
        <v>0</v>
      </c>
      <c r="N137" s="5">
        <f>IF(18&lt;=Supuestos!$B$19,I137-Supuestos!$B$23*$D$29*(1+Supuestos!$B$9)^(18-1),0)</f>
        <v>0</v>
      </c>
      <c r="O137" s="5">
        <f t="shared" ref="O137:P137" si="78">O136+M137</f>
        <v>16743058.2</v>
      </c>
      <c r="P137" s="5">
        <f t="shared" si="78"/>
        <v>45991932.42</v>
      </c>
    </row>
    <row r="138" ht="14.25" customHeight="1">
      <c r="B138" s="19">
        <f>Supuestos!$B$25+19-1</f>
        <v>2044</v>
      </c>
      <c r="C138" s="5">
        <f>$D$39*(1+Supuestos!$B$9)^(19-1)</f>
        <v>129454103.7</v>
      </c>
      <c r="D138" s="5">
        <f>IF(B138&lt;=Supuestos!$B$26,$D$38*(1+Supuestos!$B$9)^(19-1),0)</f>
        <v>0</v>
      </c>
      <c r="E138" s="5">
        <f t="shared" si="58"/>
        <v>129454103.7</v>
      </c>
      <c r="F138" s="5">
        <f>$D$43*(1+Supuestos!$B$9)^(19-1)*(1-Supuestos!$B$11)^(19-1)</f>
        <v>5797550.845</v>
      </c>
      <c r="G138" s="5">
        <f>$D$44*(1+Supuestos!$B$9)^(19-1)*(1-Supuestos!$B$12)^(19-1)</f>
        <v>21793856.21</v>
      </c>
      <c r="H138" s="5">
        <f>IF(19&lt;=Supuestos!$B$18,$D$42*$D$31*(1+Supuestos!$B$10)^(19-1)*(1-Supuestos!$B$11)^(19-1),0)</f>
        <v>0</v>
      </c>
      <c r="I138" s="5">
        <f>IF(19&lt;=Supuestos!$B$19,G138*$D$32,0)</f>
        <v>0</v>
      </c>
      <c r="J138" s="10">
        <f t="shared" si="59"/>
        <v>27591407.06</v>
      </c>
      <c r="K138" s="5">
        <f t="shared" si="60"/>
        <v>238234389.4</v>
      </c>
      <c r="L138" s="8">
        <f t="shared" si="61"/>
        <v>0.2131365964</v>
      </c>
      <c r="M138" s="5">
        <f>IF(19&lt;=Supuestos!$B$18,H138-Supuestos!$B$22*$D$26*(1+Supuestos!$B$9)^(19-1),0)</f>
        <v>0</v>
      </c>
      <c r="N138" s="5">
        <f>IF(19&lt;=Supuestos!$B$19,I138-Supuestos!$B$23*$D$29*(1+Supuestos!$B$9)^(19-1),0)</f>
        <v>0</v>
      </c>
      <c r="O138" s="5">
        <f t="shared" ref="O138:P138" si="79">O137+M138</f>
        <v>16743058.2</v>
      </c>
      <c r="P138" s="5">
        <f t="shared" si="79"/>
        <v>45991932.42</v>
      </c>
    </row>
    <row r="139" ht="14.25" customHeight="1">
      <c r="B139" s="19">
        <f>Supuestos!$B$25+20-1</f>
        <v>2045</v>
      </c>
      <c r="C139" s="5">
        <f>$D$39*(1+Supuestos!$B$9)^(20-1)</f>
        <v>135926808.9</v>
      </c>
      <c r="D139" s="5">
        <f>IF(B139&lt;=Supuestos!$B$26,$D$38*(1+Supuestos!$B$9)^(20-1),0)</f>
        <v>0</v>
      </c>
      <c r="E139" s="5">
        <f t="shared" si="58"/>
        <v>135926808.9</v>
      </c>
      <c r="F139" s="5">
        <f>$D$43*(1+Supuestos!$B$9)^(20-1)*(1-Supuestos!$B$11)^(20-1)</f>
        <v>6056991.245</v>
      </c>
      <c r="G139" s="5">
        <f>$D$44*(1+Supuestos!$B$9)^(20-1)*(1-Supuestos!$B$12)^(20-1)</f>
        <v>22597504.66</v>
      </c>
      <c r="H139" s="5">
        <f>IF(20&lt;=Supuestos!$B$18,$D$42*$D$31*(1+Supuestos!$B$10)^(20-1)*(1-Supuestos!$B$11)^(20-1),0)</f>
        <v>0</v>
      </c>
      <c r="I139" s="5">
        <f>IF(20&lt;=Supuestos!$B$19,G139*$D$32,0)</f>
        <v>0</v>
      </c>
      <c r="J139" s="10">
        <f t="shared" si="59"/>
        <v>28654495.91</v>
      </c>
      <c r="K139" s="5">
        <f t="shared" si="60"/>
        <v>266888885.3</v>
      </c>
      <c r="L139" s="8">
        <f t="shared" si="61"/>
        <v>0.2108082735</v>
      </c>
      <c r="M139" s="5">
        <f>IF(20&lt;=Supuestos!$B$18,H139-Supuestos!$B$22*$D$26*(1+Supuestos!$B$9)^(20-1),0)</f>
        <v>0</v>
      </c>
      <c r="N139" s="5">
        <f>IF(20&lt;=Supuestos!$B$19,I139-Supuestos!$B$23*$D$29*(1+Supuestos!$B$9)^(20-1),0)</f>
        <v>0</v>
      </c>
      <c r="O139" s="5">
        <f t="shared" ref="O139:P139" si="80">O138+M139</f>
        <v>16743058.2</v>
      </c>
      <c r="P139" s="5">
        <f t="shared" si="80"/>
        <v>45991932.42</v>
      </c>
    </row>
    <row r="140" ht="14.25" customHeight="1"/>
    <row r="141" ht="14.25" customHeight="1"/>
    <row r="142" ht="14.25" customHeight="1"/>
    <row r="143" ht="14.25" customHeight="1">
      <c r="A143" s="1" t="s">
        <v>201</v>
      </c>
    </row>
    <row r="144" ht="14.25" customHeight="1"/>
    <row r="145" ht="14.25" customHeight="1">
      <c r="B145" s="18" t="s">
        <v>202</v>
      </c>
      <c r="C145" s="18" t="s">
        <v>203</v>
      </c>
      <c r="D145" s="18" t="s">
        <v>204</v>
      </c>
      <c r="E145" s="18" t="s">
        <v>205</v>
      </c>
      <c r="F145" s="18" t="s">
        <v>206</v>
      </c>
      <c r="G145" s="18" t="s">
        <v>207</v>
      </c>
    </row>
    <row r="146" ht="14.25" customHeight="1">
      <c r="A146" s="4" t="s">
        <v>208</v>
      </c>
      <c r="B146" s="4">
        <v>0.0</v>
      </c>
      <c r="C146" s="5">
        <f>$N$19-C43</f>
        <v>38129489.36</v>
      </c>
      <c r="D146" s="5">
        <f t="shared" ref="D146:E146" si="81">C146-C147</f>
        <v>24117651.72</v>
      </c>
      <c r="E146" s="5">
        <f t="shared" si="81"/>
        <v>12760777.37</v>
      </c>
      <c r="F146" s="5">
        <f>E146</f>
        <v>12760777.37</v>
      </c>
      <c r="G146" s="5">
        <v>0.0</v>
      </c>
    </row>
    <row r="147" ht="14.25" customHeight="1">
      <c r="A147" s="4" t="s">
        <v>209</v>
      </c>
      <c r="B147" s="5">
        <f>$N$19</f>
        <v>52141327</v>
      </c>
      <c r="C147" s="5">
        <f>C43</f>
        <v>14011837.64</v>
      </c>
      <c r="D147" s="5">
        <f>C44</f>
        <v>11356874.34</v>
      </c>
      <c r="E147" s="5">
        <f>C46</f>
        <v>8343801.792</v>
      </c>
      <c r="F147" s="5">
        <f>C47</f>
        <v>5678437.172</v>
      </c>
      <c r="G147" s="5">
        <f>B147+C147+D147-E147-F147</f>
        <v>63487800.02</v>
      </c>
    </row>
    <row r="148" ht="14.25" customHeight="1"/>
    <row r="149" ht="14.25" customHeight="1"/>
    <row r="150" ht="14.25" customHeight="1">
      <c r="A150" s="1" t="s">
        <v>210</v>
      </c>
    </row>
    <row r="151" ht="14.25" customHeight="1">
      <c r="A151" s="2" t="s">
        <v>211</v>
      </c>
      <c r="B151" s="2" t="s">
        <v>212</v>
      </c>
      <c r="C151" s="2" t="s">
        <v>213</v>
      </c>
      <c r="D151" s="2" t="s">
        <v>214</v>
      </c>
      <c r="E151" s="2" t="s">
        <v>215</v>
      </c>
      <c r="F151" s="2" t="s">
        <v>216</v>
      </c>
      <c r="G151" s="2" t="s">
        <v>217</v>
      </c>
      <c r="H151" s="2" t="s">
        <v>218</v>
      </c>
    </row>
    <row r="152" ht="14.25" customHeight="1">
      <c r="A152" s="19">
        <v>0.0</v>
      </c>
      <c r="B152" s="4" t="s">
        <v>219</v>
      </c>
      <c r="C152" s="5">
        <v>2093.8</v>
      </c>
      <c r="D152" s="5">
        <v>0.0</v>
      </c>
      <c r="E152" s="5">
        <f t="shared" ref="E152:E175" si="82">C152-D152</f>
        <v>2093.8</v>
      </c>
      <c r="F152" s="5">
        <v>-1208.4</v>
      </c>
      <c r="G152" s="5">
        <v>0.0</v>
      </c>
      <c r="H152" s="5">
        <f t="shared" ref="H152:H175" si="83">E152-F152-G152</f>
        <v>3302.2</v>
      </c>
    </row>
    <row r="153" ht="14.25" customHeight="1">
      <c r="A153" s="19">
        <v>1.0</v>
      </c>
      <c r="B153" s="4" t="s">
        <v>219</v>
      </c>
      <c r="C153" s="5">
        <v>2093.8</v>
      </c>
      <c r="D153" s="5">
        <v>0.0</v>
      </c>
      <c r="E153" s="5">
        <f t="shared" si="82"/>
        <v>2093.8</v>
      </c>
      <c r="F153" s="5">
        <v>-1208.4</v>
      </c>
      <c r="G153" s="5">
        <v>0.0</v>
      </c>
      <c r="H153" s="5">
        <f t="shared" si="83"/>
        <v>3302.2</v>
      </c>
    </row>
    <row r="154" ht="14.25" customHeight="1">
      <c r="A154" s="19">
        <v>2.0</v>
      </c>
      <c r="B154" s="4" t="s">
        <v>219</v>
      </c>
      <c r="C154" s="5">
        <v>2093.8</v>
      </c>
      <c r="D154" s="5">
        <v>0.0</v>
      </c>
      <c r="E154" s="5">
        <f t="shared" si="82"/>
        <v>2093.8</v>
      </c>
      <c r="F154" s="5">
        <v>-1208.4</v>
      </c>
      <c r="G154" s="5">
        <v>0.0</v>
      </c>
      <c r="H154" s="5">
        <f t="shared" si="83"/>
        <v>3302.2</v>
      </c>
    </row>
    <row r="155" ht="14.25" customHeight="1">
      <c r="A155" s="19">
        <v>3.0</v>
      </c>
      <c r="B155" s="4" t="s">
        <v>219</v>
      </c>
      <c r="C155" s="5">
        <v>2118.4</v>
      </c>
      <c r="D155" s="5">
        <v>0.0</v>
      </c>
      <c r="E155" s="5">
        <f t="shared" si="82"/>
        <v>2118.4</v>
      </c>
      <c r="F155" s="5">
        <v>-1208.4</v>
      </c>
      <c r="G155" s="5">
        <v>0.0</v>
      </c>
      <c r="H155" s="5">
        <f t="shared" si="83"/>
        <v>3326.8</v>
      </c>
    </row>
    <row r="156" ht="14.25" customHeight="1">
      <c r="A156" s="19">
        <v>4.0</v>
      </c>
      <c r="B156" s="4" t="s">
        <v>219</v>
      </c>
      <c r="C156" s="5">
        <v>2167.7</v>
      </c>
      <c r="D156" s="5">
        <v>0.0</v>
      </c>
      <c r="E156" s="5">
        <f t="shared" si="82"/>
        <v>2167.7</v>
      </c>
      <c r="F156" s="5">
        <v>-1208.4</v>
      </c>
      <c r="G156" s="5">
        <v>0.0</v>
      </c>
      <c r="H156" s="5">
        <f t="shared" si="83"/>
        <v>3376.1</v>
      </c>
    </row>
    <row r="157" ht="14.25" customHeight="1">
      <c r="A157" s="19">
        <v>5.0</v>
      </c>
      <c r="B157" s="4" t="s">
        <v>219</v>
      </c>
      <c r="C157" s="5">
        <v>2266.2</v>
      </c>
      <c r="D157" s="5">
        <v>0.0</v>
      </c>
      <c r="E157" s="5">
        <f t="shared" si="82"/>
        <v>2266.2</v>
      </c>
      <c r="F157" s="5">
        <v>-1208.4</v>
      </c>
      <c r="G157" s="5">
        <v>0.0</v>
      </c>
      <c r="H157" s="5">
        <f t="shared" si="83"/>
        <v>3474.6</v>
      </c>
    </row>
    <row r="158" ht="14.25" customHeight="1">
      <c r="A158" s="19">
        <v>6.0</v>
      </c>
      <c r="B158" s="4" t="s">
        <v>220</v>
      </c>
      <c r="C158" s="5">
        <v>2414.0</v>
      </c>
      <c r="D158" s="5">
        <v>0.0</v>
      </c>
      <c r="E158" s="5">
        <f t="shared" si="82"/>
        <v>2414</v>
      </c>
      <c r="F158" s="5">
        <v>0.0</v>
      </c>
      <c r="G158" s="5">
        <v>0.0</v>
      </c>
      <c r="H158" s="5">
        <f t="shared" si="83"/>
        <v>2414</v>
      </c>
    </row>
    <row r="159" ht="14.25" customHeight="1">
      <c r="A159" s="19">
        <v>7.0</v>
      </c>
      <c r="B159" s="4" t="s">
        <v>220</v>
      </c>
      <c r="C159" s="5">
        <v>2586.4</v>
      </c>
      <c r="D159" s="5">
        <v>694.8</v>
      </c>
      <c r="E159" s="5">
        <f t="shared" si="82"/>
        <v>1891.6</v>
      </c>
      <c r="F159" s="5">
        <v>0.0</v>
      </c>
      <c r="G159" s="5">
        <v>0.0</v>
      </c>
      <c r="H159" s="5">
        <f t="shared" si="83"/>
        <v>1891.6</v>
      </c>
    </row>
    <row r="160" ht="14.25" customHeight="1">
      <c r="A160" s="19">
        <v>8.0</v>
      </c>
      <c r="B160" s="4" t="s">
        <v>220</v>
      </c>
      <c r="C160" s="5">
        <v>2758.8</v>
      </c>
      <c r="D160" s="5">
        <v>1345.9</v>
      </c>
      <c r="E160" s="5">
        <f t="shared" si="82"/>
        <v>1412.9</v>
      </c>
      <c r="F160" s="5">
        <v>0.0</v>
      </c>
      <c r="G160" s="5">
        <v>0.0</v>
      </c>
      <c r="H160" s="5">
        <f t="shared" si="83"/>
        <v>1412.9</v>
      </c>
    </row>
    <row r="161" ht="14.25" customHeight="1">
      <c r="A161" s="19">
        <v>9.0</v>
      </c>
      <c r="B161" s="4" t="s">
        <v>220</v>
      </c>
      <c r="C161" s="5">
        <v>2832.7</v>
      </c>
      <c r="D161" s="5">
        <v>1912.5</v>
      </c>
      <c r="E161" s="5">
        <f t="shared" si="82"/>
        <v>920.2</v>
      </c>
      <c r="F161" s="5">
        <v>0.0</v>
      </c>
      <c r="G161" s="5">
        <v>0.0</v>
      </c>
      <c r="H161" s="5">
        <f t="shared" si="83"/>
        <v>920.2</v>
      </c>
    </row>
    <row r="162" ht="14.25" customHeight="1">
      <c r="A162" s="19">
        <v>10.0</v>
      </c>
      <c r="B162" s="4" t="s">
        <v>220</v>
      </c>
      <c r="C162" s="5">
        <v>2857.4</v>
      </c>
      <c r="D162" s="5">
        <v>2358.9</v>
      </c>
      <c r="E162" s="5">
        <f t="shared" si="82"/>
        <v>498.5</v>
      </c>
      <c r="F162" s="5">
        <v>0.0</v>
      </c>
      <c r="G162" s="5">
        <v>0.0</v>
      </c>
      <c r="H162" s="5">
        <f t="shared" si="83"/>
        <v>498.5</v>
      </c>
    </row>
    <row r="163" ht="14.25" customHeight="1">
      <c r="A163" s="19">
        <v>11.0</v>
      </c>
      <c r="B163" s="4" t="s">
        <v>220</v>
      </c>
      <c r="C163" s="5">
        <v>2857.4</v>
      </c>
      <c r="D163" s="5">
        <v>2657.1</v>
      </c>
      <c r="E163" s="5">
        <f t="shared" si="82"/>
        <v>200.3</v>
      </c>
      <c r="F163" s="5">
        <v>0.0</v>
      </c>
      <c r="G163" s="5">
        <v>0.0</v>
      </c>
      <c r="H163" s="5">
        <f t="shared" si="83"/>
        <v>200.3</v>
      </c>
    </row>
    <row r="164" ht="14.25" customHeight="1">
      <c r="A164" s="19">
        <v>12.0</v>
      </c>
      <c r="B164" s="4" t="s">
        <v>220</v>
      </c>
      <c r="C164" s="5">
        <v>2857.4</v>
      </c>
      <c r="D164" s="5">
        <v>2788.3</v>
      </c>
      <c r="E164" s="5">
        <f t="shared" si="82"/>
        <v>69.1</v>
      </c>
      <c r="F164" s="5">
        <v>0.0</v>
      </c>
      <c r="G164" s="5">
        <v>0.0</v>
      </c>
      <c r="H164" s="5">
        <f t="shared" si="83"/>
        <v>69.1</v>
      </c>
    </row>
    <row r="165" ht="14.25" customHeight="1">
      <c r="A165" s="19">
        <v>13.0</v>
      </c>
      <c r="B165" s="4" t="s">
        <v>220</v>
      </c>
      <c r="C165" s="5">
        <v>2832.7</v>
      </c>
      <c r="D165" s="5">
        <v>2744.3</v>
      </c>
      <c r="E165" s="5">
        <f t="shared" si="82"/>
        <v>88.4</v>
      </c>
      <c r="F165" s="5">
        <v>0.0</v>
      </c>
      <c r="G165" s="5">
        <v>0.0</v>
      </c>
      <c r="H165" s="5">
        <f t="shared" si="83"/>
        <v>88.4</v>
      </c>
    </row>
    <row r="166" ht="14.25" customHeight="1">
      <c r="A166" s="19">
        <v>14.0</v>
      </c>
      <c r="B166" s="4" t="s">
        <v>220</v>
      </c>
      <c r="C166" s="5">
        <v>2808.1</v>
      </c>
      <c r="D166" s="5">
        <v>2527.9</v>
      </c>
      <c r="E166" s="5">
        <f t="shared" si="82"/>
        <v>280.2</v>
      </c>
      <c r="F166" s="5">
        <v>0.0</v>
      </c>
      <c r="G166" s="5">
        <v>0.0</v>
      </c>
      <c r="H166" s="5">
        <f t="shared" si="83"/>
        <v>280.2</v>
      </c>
    </row>
    <row r="167" ht="14.25" customHeight="1">
      <c r="A167" s="19">
        <v>15.0</v>
      </c>
      <c r="B167" s="4" t="s">
        <v>220</v>
      </c>
      <c r="C167" s="5">
        <v>2783.5</v>
      </c>
      <c r="D167" s="5">
        <v>2152.7</v>
      </c>
      <c r="E167" s="5">
        <f t="shared" si="82"/>
        <v>630.8</v>
      </c>
      <c r="F167" s="5">
        <v>0.0</v>
      </c>
      <c r="G167" s="5">
        <v>0.0</v>
      </c>
      <c r="H167" s="5">
        <f t="shared" si="83"/>
        <v>630.8</v>
      </c>
    </row>
    <row r="168" ht="14.25" customHeight="1">
      <c r="A168" s="19">
        <v>16.0</v>
      </c>
      <c r="B168" s="4" t="s">
        <v>220</v>
      </c>
      <c r="C168" s="5">
        <v>2758.8</v>
      </c>
      <c r="D168" s="5">
        <v>1642.2</v>
      </c>
      <c r="E168" s="5">
        <f t="shared" si="82"/>
        <v>1116.6</v>
      </c>
      <c r="F168" s="5">
        <v>0.0</v>
      </c>
      <c r="G168" s="5">
        <v>0.0</v>
      </c>
      <c r="H168" s="5">
        <f t="shared" si="83"/>
        <v>1116.6</v>
      </c>
    </row>
    <row r="169" ht="14.25" customHeight="1">
      <c r="A169" s="19">
        <v>17.0</v>
      </c>
      <c r="B169" s="4" t="s">
        <v>220</v>
      </c>
      <c r="C169" s="5">
        <v>2709.6</v>
      </c>
      <c r="D169" s="5">
        <v>1028.5</v>
      </c>
      <c r="E169" s="5">
        <f t="shared" si="82"/>
        <v>1681.1</v>
      </c>
      <c r="F169" s="5">
        <v>0.0</v>
      </c>
      <c r="G169" s="5">
        <v>0.0</v>
      </c>
      <c r="H169" s="5">
        <f t="shared" si="83"/>
        <v>1681.1</v>
      </c>
    </row>
    <row r="170" ht="14.25" customHeight="1">
      <c r="A170" s="19">
        <v>18.0</v>
      </c>
      <c r="B170" s="4" t="s">
        <v>221</v>
      </c>
      <c r="C170" s="5">
        <v>2758.8</v>
      </c>
      <c r="D170" s="5">
        <v>350.2</v>
      </c>
      <c r="E170" s="5">
        <f t="shared" si="82"/>
        <v>2408.6</v>
      </c>
      <c r="F170" s="5">
        <v>0.0</v>
      </c>
      <c r="G170" s="5">
        <f t="shared" ref="G170:G173" si="84">MIN($C$28,MAX(0,E170-$E$180))</f>
        <v>1508.242513</v>
      </c>
      <c r="H170" s="5">
        <f t="shared" si="83"/>
        <v>900.3574867</v>
      </c>
    </row>
    <row r="171" ht="14.25" customHeight="1">
      <c r="A171" s="19">
        <v>19.0</v>
      </c>
      <c r="B171" s="4" t="s">
        <v>221</v>
      </c>
      <c r="C171" s="5">
        <v>2808.1</v>
      </c>
      <c r="D171" s="5">
        <v>0.0</v>
      </c>
      <c r="E171" s="5">
        <f t="shared" si="82"/>
        <v>2808.1</v>
      </c>
      <c r="F171" s="5">
        <v>0.0</v>
      </c>
      <c r="G171" s="5">
        <f t="shared" si="84"/>
        <v>1907.742513</v>
      </c>
      <c r="H171" s="5">
        <f t="shared" si="83"/>
        <v>900.3574867</v>
      </c>
    </row>
    <row r="172" ht="14.25" customHeight="1">
      <c r="A172" s="19">
        <v>20.0</v>
      </c>
      <c r="B172" s="4" t="s">
        <v>221</v>
      </c>
      <c r="C172" s="5">
        <v>2758.8</v>
      </c>
      <c r="D172" s="5">
        <v>0.0</v>
      </c>
      <c r="E172" s="5">
        <f t="shared" si="82"/>
        <v>2758.8</v>
      </c>
      <c r="F172" s="5">
        <v>0.0</v>
      </c>
      <c r="G172" s="5">
        <f t="shared" si="84"/>
        <v>1858.442513</v>
      </c>
      <c r="H172" s="5">
        <f t="shared" si="83"/>
        <v>900.3574867</v>
      </c>
    </row>
    <row r="173" ht="14.25" customHeight="1">
      <c r="A173" s="19">
        <v>21.0</v>
      </c>
      <c r="B173" s="4" t="s">
        <v>221</v>
      </c>
      <c r="C173" s="5">
        <v>2586.4</v>
      </c>
      <c r="D173" s="5">
        <v>0.0</v>
      </c>
      <c r="E173" s="5">
        <f t="shared" si="82"/>
        <v>2586.4</v>
      </c>
      <c r="F173" s="5">
        <v>0.0</v>
      </c>
      <c r="G173" s="5">
        <f t="shared" si="84"/>
        <v>1686.042513</v>
      </c>
      <c r="H173" s="5">
        <f t="shared" si="83"/>
        <v>900.3574867</v>
      </c>
    </row>
    <row r="174" ht="14.25" customHeight="1">
      <c r="A174" s="19">
        <v>22.0</v>
      </c>
      <c r="B174" s="4" t="s">
        <v>220</v>
      </c>
      <c r="C174" s="5">
        <v>2340.1</v>
      </c>
      <c r="D174" s="5">
        <v>0.0</v>
      </c>
      <c r="E174" s="5">
        <f t="shared" si="82"/>
        <v>2340.1</v>
      </c>
      <c r="F174" s="5">
        <v>0.0</v>
      </c>
      <c r="G174" s="5">
        <v>0.0</v>
      </c>
      <c r="H174" s="5">
        <f t="shared" si="83"/>
        <v>2340.1</v>
      </c>
    </row>
    <row r="175" ht="14.25" customHeight="1">
      <c r="A175" s="19">
        <v>23.0</v>
      </c>
      <c r="B175" s="4" t="s">
        <v>220</v>
      </c>
      <c r="C175" s="5">
        <v>2167.7</v>
      </c>
      <c r="D175" s="5">
        <v>0.0</v>
      </c>
      <c r="E175" s="5">
        <f t="shared" si="82"/>
        <v>2167.7</v>
      </c>
      <c r="F175" s="5">
        <v>0.0</v>
      </c>
      <c r="G175" s="5">
        <v>0.0</v>
      </c>
      <c r="H175" s="5">
        <f t="shared" si="83"/>
        <v>2167.7</v>
      </c>
    </row>
    <row r="176" ht="14.25" customHeight="1"/>
    <row r="177" ht="14.25" customHeight="1">
      <c r="A177" s="3" t="s">
        <v>222</v>
      </c>
    </row>
    <row r="178" ht="14.25" customHeight="1">
      <c r="A178" s="4" t="s">
        <v>223</v>
      </c>
      <c r="E178" s="23">
        <f>MAX(E170:E173)</f>
        <v>2808.1</v>
      </c>
    </row>
    <row r="179" ht="14.25" customHeight="1">
      <c r="A179" s="4" t="s">
        <v>224</v>
      </c>
      <c r="E179" s="23">
        <f>$C$30</f>
        <v>6960.470053</v>
      </c>
    </row>
    <row r="180" ht="14.25" customHeight="1">
      <c r="A180" s="4" t="s">
        <v>225</v>
      </c>
      <c r="E180" s="23">
        <f>MAX(0,(SUM(E170:E173)-MIN($C$30,SUM(E170:E173)))/4)</f>
        <v>900.3574867</v>
      </c>
    </row>
    <row r="181" ht="14.25" customHeight="1">
      <c r="A181" s="4" t="s">
        <v>226</v>
      </c>
      <c r="E181" s="23">
        <f>MAX(H170:H173)</f>
        <v>900.3574867</v>
      </c>
    </row>
    <row r="182" ht="14.25" customHeight="1">
      <c r="A182" s="3" t="s">
        <v>227</v>
      </c>
      <c r="E182" s="24">
        <f>E178-E181</f>
        <v>1907.742513</v>
      </c>
    </row>
    <row r="183" ht="14.25" customHeight="1">
      <c r="A183" s="4" t="s">
        <v>228</v>
      </c>
      <c r="E183" s="5">
        <f>E182*AVERAGE(B17:M17)</f>
        <v>813860.4438</v>
      </c>
    </row>
    <row r="184" ht="14.25" customHeight="1">
      <c r="A184" s="29" t="s">
        <v>229</v>
      </c>
    </row>
    <row r="185" ht="14.25" customHeight="1"/>
    <row r="186" ht="14.25" customHeight="1">
      <c r="A186" s="3" t="s">
        <v>230</v>
      </c>
    </row>
    <row r="187" ht="14.25" customHeight="1">
      <c r="A187" s="3" t="s">
        <v>211</v>
      </c>
      <c r="B187" s="3" t="s">
        <v>212</v>
      </c>
      <c r="C187" s="3" t="s">
        <v>213</v>
      </c>
      <c r="D187" s="3" t="s">
        <v>214</v>
      </c>
      <c r="E187" s="3" t="s">
        <v>215</v>
      </c>
      <c r="F187" s="3" t="s">
        <v>216</v>
      </c>
      <c r="G187" s="3" t="s">
        <v>217</v>
      </c>
      <c r="H187" s="3" t="s">
        <v>218</v>
      </c>
    </row>
    <row r="188" ht="14.25" customHeight="1">
      <c r="A188" s="4">
        <v>0.0</v>
      </c>
      <c r="B188" s="4" t="s">
        <v>219</v>
      </c>
      <c r="C188" s="4">
        <v>2093.8</v>
      </c>
      <c r="D188" s="4">
        <v>0.0</v>
      </c>
      <c r="E188" s="4">
        <f t="shared" ref="E188:E211" si="85">C188-D188</f>
        <v>2093.8</v>
      </c>
      <c r="F188" s="4">
        <v>-1208.4</v>
      </c>
      <c r="G188" s="4">
        <v>0.0</v>
      </c>
      <c r="H188" s="4">
        <f t="shared" ref="H188:H211" si="86">E188-F188-G188</f>
        <v>3302.2</v>
      </c>
    </row>
    <row r="189" ht="14.25" customHeight="1">
      <c r="A189" s="4">
        <v>1.0</v>
      </c>
      <c r="B189" s="4" t="s">
        <v>219</v>
      </c>
      <c r="C189" s="4">
        <v>2093.8</v>
      </c>
      <c r="D189" s="4">
        <v>0.0</v>
      </c>
      <c r="E189" s="4">
        <f t="shared" si="85"/>
        <v>2093.8</v>
      </c>
      <c r="F189" s="4">
        <v>-1208.4</v>
      </c>
      <c r="G189" s="4">
        <v>0.0</v>
      </c>
      <c r="H189" s="4">
        <f t="shared" si="86"/>
        <v>3302.2</v>
      </c>
    </row>
    <row r="190" ht="14.25" customHeight="1">
      <c r="A190" s="4">
        <v>2.0</v>
      </c>
      <c r="B190" s="4" t="s">
        <v>219</v>
      </c>
      <c r="C190" s="4">
        <v>2093.8</v>
      </c>
      <c r="D190" s="4">
        <v>0.0</v>
      </c>
      <c r="E190" s="4">
        <f t="shared" si="85"/>
        <v>2093.8</v>
      </c>
      <c r="F190" s="4">
        <v>-1208.4</v>
      </c>
      <c r="G190" s="4">
        <v>0.0</v>
      </c>
      <c r="H190" s="4">
        <f t="shared" si="86"/>
        <v>3302.2</v>
      </c>
    </row>
    <row r="191" ht="14.25" customHeight="1">
      <c r="A191" s="4">
        <v>3.0</v>
      </c>
      <c r="B191" s="4" t="s">
        <v>219</v>
      </c>
      <c r="C191" s="4">
        <v>2118.4</v>
      </c>
      <c r="D191" s="4">
        <v>0.0</v>
      </c>
      <c r="E191" s="4">
        <f t="shared" si="85"/>
        <v>2118.4</v>
      </c>
      <c r="F191" s="4">
        <v>-1208.4</v>
      </c>
      <c r="G191" s="4">
        <v>0.0</v>
      </c>
      <c r="H191" s="4">
        <f t="shared" si="86"/>
        <v>3326.8</v>
      </c>
    </row>
    <row r="192" ht="14.25" customHeight="1">
      <c r="A192" s="4">
        <v>4.0</v>
      </c>
      <c r="B192" s="4" t="s">
        <v>219</v>
      </c>
      <c r="C192" s="4">
        <v>2167.7</v>
      </c>
      <c r="D192" s="4">
        <v>0.0</v>
      </c>
      <c r="E192" s="4">
        <f t="shared" si="85"/>
        <v>2167.7</v>
      </c>
      <c r="F192" s="4">
        <v>-1208.4</v>
      </c>
      <c r="G192" s="4">
        <v>0.0</v>
      </c>
      <c r="H192" s="4">
        <f t="shared" si="86"/>
        <v>3376.1</v>
      </c>
    </row>
    <row r="193" ht="14.25" customHeight="1">
      <c r="A193" s="4">
        <v>5.0</v>
      </c>
      <c r="B193" s="4" t="s">
        <v>219</v>
      </c>
      <c r="C193" s="4">
        <v>2266.2</v>
      </c>
      <c r="D193" s="4">
        <v>0.0</v>
      </c>
      <c r="E193" s="4">
        <f t="shared" si="85"/>
        <v>2266.2</v>
      </c>
      <c r="F193" s="4">
        <v>-1208.4</v>
      </c>
      <c r="G193" s="4">
        <v>0.0</v>
      </c>
      <c r="H193" s="4">
        <f t="shared" si="86"/>
        <v>3474.6</v>
      </c>
    </row>
    <row r="194" ht="14.25" customHeight="1">
      <c r="A194" s="4">
        <v>6.0</v>
      </c>
      <c r="B194" s="4" t="s">
        <v>220</v>
      </c>
      <c r="C194" s="4">
        <v>2414.0</v>
      </c>
      <c r="D194" s="4">
        <v>0.0</v>
      </c>
      <c r="E194" s="4">
        <f t="shared" si="85"/>
        <v>2414</v>
      </c>
      <c r="F194" s="4">
        <v>0.0</v>
      </c>
      <c r="G194" s="4">
        <v>0.0</v>
      </c>
      <c r="H194" s="4">
        <f t="shared" si="86"/>
        <v>2414</v>
      </c>
    </row>
    <row r="195" ht="14.25" customHeight="1">
      <c r="A195" s="4">
        <v>7.0</v>
      </c>
      <c r="B195" s="4" t="s">
        <v>220</v>
      </c>
      <c r="C195" s="4">
        <v>2586.4</v>
      </c>
      <c r="D195" s="4">
        <v>694.8</v>
      </c>
      <c r="E195" s="4">
        <f t="shared" si="85"/>
        <v>1891.6</v>
      </c>
      <c r="F195" s="4">
        <v>0.0</v>
      </c>
      <c r="G195" s="4">
        <v>0.0</v>
      </c>
      <c r="H195" s="4">
        <f t="shared" si="86"/>
        <v>1891.6</v>
      </c>
    </row>
    <row r="196" ht="14.25" customHeight="1">
      <c r="A196" s="4">
        <v>8.0</v>
      </c>
      <c r="B196" s="4" t="s">
        <v>220</v>
      </c>
      <c r="C196" s="4">
        <v>2758.8</v>
      </c>
      <c r="D196" s="4">
        <v>1345.9</v>
      </c>
      <c r="E196" s="4">
        <f t="shared" si="85"/>
        <v>1412.9</v>
      </c>
      <c r="F196" s="4">
        <v>0.0</v>
      </c>
      <c r="G196" s="4">
        <v>0.0</v>
      </c>
      <c r="H196" s="4">
        <f t="shared" si="86"/>
        <v>1412.9</v>
      </c>
    </row>
    <row r="197" ht="14.25" customHeight="1">
      <c r="A197" s="4">
        <v>9.0</v>
      </c>
      <c r="B197" s="4" t="s">
        <v>220</v>
      </c>
      <c r="C197" s="4">
        <v>2832.7</v>
      </c>
      <c r="D197" s="4">
        <v>1912.5</v>
      </c>
      <c r="E197" s="4">
        <f t="shared" si="85"/>
        <v>920.2</v>
      </c>
      <c r="F197" s="4">
        <v>0.0</v>
      </c>
      <c r="G197" s="4">
        <v>0.0</v>
      </c>
      <c r="H197" s="4">
        <f t="shared" si="86"/>
        <v>920.2</v>
      </c>
    </row>
    <row r="198" ht="14.25" customHeight="1">
      <c r="A198" s="4">
        <v>10.0</v>
      </c>
      <c r="B198" s="4" t="s">
        <v>220</v>
      </c>
      <c r="C198" s="4">
        <v>2857.4</v>
      </c>
      <c r="D198" s="4">
        <v>2358.9</v>
      </c>
      <c r="E198" s="4">
        <f t="shared" si="85"/>
        <v>498.5</v>
      </c>
      <c r="F198" s="4">
        <v>0.0</v>
      </c>
      <c r="G198" s="4">
        <v>0.0</v>
      </c>
      <c r="H198" s="4">
        <f t="shared" si="86"/>
        <v>498.5</v>
      </c>
    </row>
    <row r="199" ht="14.25" customHeight="1">
      <c r="A199" s="4">
        <v>11.0</v>
      </c>
      <c r="B199" s="4" t="s">
        <v>220</v>
      </c>
      <c r="C199" s="4">
        <v>2857.4</v>
      </c>
      <c r="D199" s="4">
        <v>2657.1</v>
      </c>
      <c r="E199" s="4">
        <f t="shared" si="85"/>
        <v>200.3</v>
      </c>
      <c r="F199" s="4">
        <v>0.0</v>
      </c>
      <c r="G199" s="4">
        <v>0.0</v>
      </c>
      <c r="H199" s="4">
        <f t="shared" si="86"/>
        <v>200.3</v>
      </c>
    </row>
    <row r="200" ht="14.25" customHeight="1">
      <c r="A200" s="4">
        <v>12.0</v>
      </c>
      <c r="B200" s="4" t="s">
        <v>220</v>
      </c>
      <c r="C200" s="4">
        <v>2857.4</v>
      </c>
      <c r="D200" s="4">
        <v>2788.3</v>
      </c>
      <c r="E200" s="4">
        <f t="shared" si="85"/>
        <v>69.1</v>
      </c>
      <c r="F200" s="4">
        <v>0.0</v>
      </c>
      <c r="G200" s="4">
        <v>0.0</v>
      </c>
      <c r="H200" s="4">
        <f t="shared" si="86"/>
        <v>69.1</v>
      </c>
    </row>
    <row r="201" ht="14.25" customHeight="1">
      <c r="A201" s="4">
        <v>13.0</v>
      </c>
      <c r="B201" s="4" t="s">
        <v>220</v>
      </c>
      <c r="C201" s="4">
        <v>2832.7</v>
      </c>
      <c r="D201" s="4">
        <v>2744.3</v>
      </c>
      <c r="E201" s="4">
        <f t="shared" si="85"/>
        <v>88.4</v>
      </c>
      <c r="F201" s="4">
        <v>0.0</v>
      </c>
      <c r="G201" s="4">
        <v>0.0</v>
      </c>
      <c r="H201" s="4">
        <f t="shared" si="86"/>
        <v>88.4</v>
      </c>
    </row>
    <row r="202" ht="14.25" customHeight="1">
      <c r="A202" s="4">
        <v>14.0</v>
      </c>
      <c r="B202" s="4" t="s">
        <v>220</v>
      </c>
      <c r="C202" s="4">
        <v>2808.1</v>
      </c>
      <c r="D202" s="4">
        <v>2527.9</v>
      </c>
      <c r="E202" s="4">
        <f t="shared" si="85"/>
        <v>280.2</v>
      </c>
      <c r="F202" s="4">
        <v>0.0</v>
      </c>
      <c r="G202" s="4">
        <v>0.0</v>
      </c>
      <c r="H202" s="4">
        <f t="shared" si="86"/>
        <v>280.2</v>
      </c>
    </row>
    <row r="203" ht="14.25" customHeight="1">
      <c r="A203" s="4">
        <v>15.0</v>
      </c>
      <c r="B203" s="4" t="s">
        <v>220</v>
      </c>
      <c r="C203" s="4">
        <v>2783.5</v>
      </c>
      <c r="D203" s="4">
        <v>2152.7</v>
      </c>
      <c r="E203" s="4">
        <f t="shared" si="85"/>
        <v>630.8</v>
      </c>
      <c r="F203" s="4">
        <v>0.0</v>
      </c>
      <c r="G203" s="4">
        <v>0.0</v>
      </c>
      <c r="H203" s="4">
        <f t="shared" si="86"/>
        <v>630.8</v>
      </c>
    </row>
    <row r="204" ht="14.25" customHeight="1">
      <c r="A204" s="4">
        <v>16.0</v>
      </c>
      <c r="B204" s="4" t="s">
        <v>220</v>
      </c>
      <c r="C204" s="4">
        <v>2758.8</v>
      </c>
      <c r="D204" s="4">
        <v>1642.2</v>
      </c>
      <c r="E204" s="4">
        <f t="shared" si="85"/>
        <v>1116.6</v>
      </c>
      <c r="F204" s="4">
        <v>0.0</v>
      </c>
      <c r="G204" s="4">
        <v>0.0</v>
      </c>
      <c r="H204" s="4">
        <f t="shared" si="86"/>
        <v>1116.6</v>
      </c>
    </row>
    <row r="205" ht="14.25" customHeight="1">
      <c r="A205" s="4">
        <v>17.0</v>
      </c>
      <c r="B205" s="4" t="s">
        <v>220</v>
      </c>
      <c r="C205" s="4">
        <v>2709.6</v>
      </c>
      <c r="D205" s="4">
        <v>1028.5</v>
      </c>
      <c r="E205" s="4">
        <f t="shared" si="85"/>
        <v>1681.1</v>
      </c>
      <c r="F205" s="4">
        <v>0.0</v>
      </c>
      <c r="G205" s="4">
        <v>0.0</v>
      </c>
      <c r="H205" s="4">
        <f t="shared" si="86"/>
        <v>1681.1</v>
      </c>
    </row>
    <row r="206" ht="14.25" customHeight="1">
      <c r="A206" s="4">
        <v>18.0</v>
      </c>
      <c r="B206" s="4" t="s">
        <v>220</v>
      </c>
      <c r="C206" s="4">
        <v>2758.8</v>
      </c>
      <c r="D206" s="4">
        <v>350.2</v>
      </c>
      <c r="E206" s="4">
        <f t="shared" si="85"/>
        <v>2408.6</v>
      </c>
      <c r="F206" s="4">
        <v>0.0</v>
      </c>
      <c r="G206" s="4">
        <v>0.0</v>
      </c>
      <c r="H206" s="4">
        <f t="shared" si="86"/>
        <v>2408.6</v>
      </c>
    </row>
    <row r="207" ht="14.25" customHeight="1">
      <c r="A207" s="4">
        <v>19.0</v>
      </c>
      <c r="B207" s="4" t="s">
        <v>220</v>
      </c>
      <c r="C207" s="4">
        <v>2808.1</v>
      </c>
      <c r="D207" s="4">
        <v>0.0</v>
      </c>
      <c r="E207" s="4">
        <f t="shared" si="85"/>
        <v>2808.1</v>
      </c>
      <c r="F207" s="4">
        <v>0.0</v>
      </c>
      <c r="G207" s="4">
        <v>0.0</v>
      </c>
      <c r="H207" s="4">
        <f t="shared" si="86"/>
        <v>2808.1</v>
      </c>
    </row>
    <row r="208" ht="14.25" customHeight="1">
      <c r="A208" s="4">
        <v>20.0</v>
      </c>
      <c r="B208" s="4" t="s">
        <v>221</v>
      </c>
      <c r="C208" s="4">
        <v>2758.8</v>
      </c>
      <c r="D208" s="4">
        <v>0.0</v>
      </c>
      <c r="E208" s="4">
        <f t="shared" si="85"/>
        <v>2758.8</v>
      </c>
      <c r="F208" s="4">
        <v>0.0</v>
      </c>
      <c r="G208" s="5">
        <f t="shared" ref="G208:G209" si="87">MIN($C$28,MAX(0,E208-$E$216))</f>
        <v>2758.8</v>
      </c>
      <c r="H208" s="5">
        <f t="shared" si="86"/>
        <v>0</v>
      </c>
    </row>
    <row r="209" ht="14.25" customHeight="1">
      <c r="A209" s="4">
        <v>21.0</v>
      </c>
      <c r="B209" s="4" t="s">
        <v>221</v>
      </c>
      <c r="C209" s="4">
        <v>2586.4</v>
      </c>
      <c r="D209" s="4">
        <v>0.0</v>
      </c>
      <c r="E209" s="4">
        <f t="shared" si="85"/>
        <v>2586.4</v>
      </c>
      <c r="F209" s="4">
        <v>0.0</v>
      </c>
      <c r="G209" s="5">
        <f t="shared" si="87"/>
        <v>2586.4</v>
      </c>
      <c r="H209" s="5">
        <f t="shared" si="86"/>
        <v>0</v>
      </c>
    </row>
    <row r="210" ht="14.25" customHeight="1">
      <c r="A210" s="4">
        <v>22.0</v>
      </c>
      <c r="B210" s="4" t="s">
        <v>220</v>
      </c>
      <c r="C210" s="4">
        <v>2340.1</v>
      </c>
      <c r="D210" s="4">
        <v>0.0</v>
      </c>
      <c r="E210" s="4">
        <f t="shared" si="85"/>
        <v>2340.1</v>
      </c>
      <c r="F210" s="4">
        <v>0.0</v>
      </c>
      <c r="G210" s="4">
        <v>0.0</v>
      </c>
      <c r="H210" s="4">
        <f t="shared" si="86"/>
        <v>2340.1</v>
      </c>
    </row>
    <row r="211" ht="14.25" customHeight="1">
      <c r="A211" s="4">
        <v>23.0</v>
      </c>
      <c r="B211" s="4" t="s">
        <v>220</v>
      </c>
      <c r="C211" s="4">
        <v>2167.7</v>
      </c>
      <c r="D211" s="4">
        <v>0.0</v>
      </c>
      <c r="E211" s="4">
        <f t="shared" si="85"/>
        <v>2167.7</v>
      </c>
      <c r="F211" s="4">
        <v>0.0</v>
      </c>
      <c r="G211" s="4">
        <v>0.0</v>
      </c>
      <c r="H211" s="4">
        <f t="shared" si="86"/>
        <v>2167.7</v>
      </c>
    </row>
    <row r="212" ht="14.25" customHeight="1"/>
    <row r="213" ht="14.25" customHeight="1">
      <c r="A213" s="3" t="s">
        <v>231</v>
      </c>
    </row>
    <row r="214" ht="14.25" customHeight="1">
      <c r="A214" s="4" t="s">
        <v>223</v>
      </c>
      <c r="E214" s="23">
        <f>MAX(E208:E209)</f>
        <v>2758.8</v>
      </c>
    </row>
    <row r="215" ht="14.25" customHeight="1">
      <c r="A215" s="4" t="s">
        <v>224</v>
      </c>
      <c r="E215" s="23">
        <f>$C$30</f>
        <v>6960.470053</v>
      </c>
    </row>
    <row r="216" ht="14.25" customHeight="1">
      <c r="A216" s="4" t="s">
        <v>225</v>
      </c>
      <c r="E216" s="23">
        <f>MAX(0,(SUM(E208:E209)-MIN($C$30,SUM(E208:E209)))/2)</f>
        <v>0</v>
      </c>
    </row>
    <row r="217" ht="14.25" customHeight="1">
      <c r="A217" s="4" t="s">
        <v>226</v>
      </c>
      <c r="E217" s="23">
        <f>MAX(H208:H209)</f>
        <v>0</v>
      </c>
    </row>
    <row r="218" ht="14.25" customHeight="1">
      <c r="A218" s="3" t="s">
        <v>227</v>
      </c>
      <c r="E218" s="24">
        <f>E214-E217</f>
        <v>2758.8</v>
      </c>
    </row>
    <row r="219" ht="14.25" customHeight="1">
      <c r="A219" s="29" t="s">
        <v>232</v>
      </c>
    </row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0.0"/>
    <col customWidth="1" min="2" max="18" width="14.0"/>
    <col customWidth="1" min="19" max="26" width="8.71"/>
  </cols>
  <sheetData>
    <row r="1" ht="14.25" customHeight="1">
      <c r="A1" s="1" t="s">
        <v>233</v>
      </c>
    </row>
    <row r="2" ht="14.25" customHeight="1"/>
    <row r="3" ht="14.25" customHeight="1">
      <c r="A3" s="1" t="s">
        <v>91</v>
      </c>
    </row>
    <row r="4" ht="14.25" customHeight="1">
      <c r="A4" s="18" t="s">
        <v>92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98</v>
      </c>
      <c r="H4" s="2" t="s">
        <v>99</v>
      </c>
      <c r="I4" s="2" t="s">
        <v>100</v>
      </c>
      <c r="J4" s="2" t="s">
        <v>101</v>
      </c>
      <c r="K4" s="2" t="s">
        <v>102</v>
      </c>
      <c r="L4" s="2" t="s">
        <v>103</v>
      </c>
      <c r="M4" s="2" t="s">
        <v>104</v>
      </c>
      <c r="N4" s="18" t="s">
        <v>105</v>
      </c>
    </row>
    <row r="5" ht="14.25" customHeight="1">
      <c r="A5" s="4" t="s">
        <v>106</v>
      </c>
      <c r="B5" s="5">
        <v>312618.0</v>
      </c>
      <c r="C5" s="5">
        <v>233673.0</v>
      </c>
      <c r="D5" s="5">
        <v>213143.0</v>
      </c>
      <c r="E5" s="5">
        <v>210539.0</v>
      </c>
      <c r="F5" s="5">
        <v>197847.0</v>
      </c>
      <c r="G5" s="5">
        <v>172712.0</v>
      </c>
      <c r="H5" s="5">
        <v>248446.0</v>
      </c>
      <c r="I5" s="5">
        <v>268553.0</v>
      </c>
      <c r="J5" s="5">
        <v>172176.0</v>
      </c>
      <c r="K5" s="5">
        <v>167957.0</v>
      </c>
      <c r="L5" s="5">
        <v>206958.0</v>
      </c>
      <c r="M5" s="5">
        <v>210087.0</v>
      </c>
      <c r="N5" s="10">
        <f t="shared" ref="N5:N8" si="1">SUM(B5:M5)</f>
        <v>2614709</v>
      </c>
    </row>
    <row r="6" ht="14.25" customHeight="1">
      <c r="A6" s="4" t="s">
        <v>107</v>
      </c>
      <c r="B6" s="5">
        <v>506177.0</v>
      </c>
      <c r="C6" s="5">
        <v>395913.0</v>
      </c>
      <c r="D6" s="5">
        <v>485674.0</v>
      </c>
      <c r="E6" s="5">
        <v>466847.0</v>
      </c>
      <c r="F6" s="5">
        <v>411635.0</v>
      </c>
      <c r="G6" s="5">
        <v>415203.0</v>
      </c>
      <c r="H6" s="5">
        <v>348173.0</v>
      </c>
      <c r="I6" s="5">
        <v>419527.0</v>
      </c>
      <c r="J6" s="5">
        <v>362748.0</v>
      </c>
      <c r="K6" s="5">
        <v>300801.0</v>
      </c>
      <c r="L6" s="5">
        <v>391377.0</v>
      </c>
      <c r="M6" s="5">
        <v>464168.0</v>
      </c>
      <c r="N6" s="10">
        <f t="shared" si="1"/>
        <v>4968243</v>
      </c>
    </row>
    <row r="7" ht="14.25" customHeight="1">
      <c r="A7" s="4" t="s">
        <v>108</v>
      </c>
      <c r="B7" s="5">
        <v>49413.0</v>
      </c>
      <c r="C7" s="5">
        <v>42282.0</v>
      </c>
      <c r="D7" s="5">
        <v>56718.0</v>
      </c>
      <c r="E7" s="5">
        <v>44577.0</v>
      </c>
      <c r="F7" s="5">
        <v>49268.0</v>
      </c>
      <c r="G7" s="5">
        <v>56344.0</v>
      </c>
      <c r="H7" s="5">
        <v>86947.0</v>
      </c>
      <c r="I7" s="5">
        <v>116821.0</v>
      </c>
      <c r="J7" s="5">
        <v>101854.0</v>
      </c>
      <c r="K7" s="5">
        <v>87531.0</v>
      </c>
      <c r="L7" s="5">
        <v>105161.0</v>
      </c>
      <c r="M7" s="5">
        <v>60762.0</v>
      </c>
      <c r="N7" s="10">
        <f t="shared" si="1"/>
        <v>857678</v>
      </c>
    </row>
    <row r="8" ht="14.25" customHeight="1">
      <c r="A8" s="4" t="s">
        <v>109</v>
      </c>
      <c r="B8" s="5">
        <f t="shared" ref="B8:M8" si="2">SUM(B5:B7)</f>
        <v>868208</v>
      </c>
      <c r="C8" s="5">
        <f t="shared" si="2"/>
        <v>671868</v>
      </c>
      <c r="D8" s="5">
        <f t="shared" si="2"/>
        <v>755535</v>
      </c>
      <c r="E8" s="5">
        <f t="shared" si="2"/>
        <v>721963</v>
      </c>
      <c r="F8" s="5">
        <f t="shared" si="2"/>
        <v>658750</v>
      </c>
      <c r="G8" s="5">
        <f t="shared" si="2"/>
        <v>644259</v>
      </c>
      <c r="H8" s="5">
        <f t="shared" si="2"/>
        <v>683566</v>
      </c>
      <c r="I8" s="5">
        <f t="shared" si="2"/>
        <v>804901</v>
      </c>
      <c r="J8" s="5">
        <f t="shared" si="2"/>
        <v>636778</v>
      </c>
      <c r="K8" s="5">
        <f t="shared" si="2"/>
        <v>556289</v>
      </c>
      <c r="L8" s="5">
        <f t="shared" si="2"/>
        <v>703496</v>
      </c>
      <c r="M8" s="5">
        <f t="shared" si="2"/>
        <v>735017</v>
      </c>
      <c r="N8" s="10">
        <f t="shared" si="1"/>
        <v>8440630</v>
      </c>
    </row>
    <row r="9" ht="14.25" customHeight="1">
      <c r="A9" s="4" t="s">
        <v>110</v>
      </c>
      <c r="B9" s="5">
        <v>1123.0</v>
      </c>
      <c r="C9" s="5">
        <v>1007.0</v>
      </c>
      <c r="D9" s="5">
        <v>1233.0</v>
      </c>
      <c r="E9" s="5">
        <v>1061.0</v>
      </c>
      <c r="F9" s="5">
        <v>1120.0</v>
      </c>
      <c r="G9" s="5">
        <v>1124.0</v>
      </c>
      <c r="H9" s="5">
        <v>1061.0</v>
      </c>
      <c r="I9" s="5">
        <v>1282.0</v>
      </c>
      <c r="J9" s="5">
        <v>1141.0</v>
      </c>
      <c r="K9" s="5">
        <v>1092.0</v>
      </c>
      <c r="L9" s="5">
        <v>1202.0</v>
      </c>
      <c r="M9" s="5">
        <v>1311.0</v>
      </c>
      <c r="N9" s="10">
        <f t="shared" ref="N9:N10" si="3">MAX(B9:M9)</f>
        <v>1311</v>
      </c>
    </row>
    <row r="10" ht="14.25" customHeight="1">
      <c r="A10" s="4" t="s">
        <v>111</v>
      </c>
      <c r="B10" s="5">
        <v>1417.0</v>
      </c>
      <c r="C10" s="5">
        <v>1033.0</v>
      </c>
      <c r="D10" s="5">
        <v>1233.0</v>
      </c>
      <c r="E10" s="5">
        <v>1108.0</v>
      </c>
      <c r="F10" s="5">
        <v>1120.0</v>
      </c>
      <c r="G10" s="5">
        <v>1124.0</v>
      </c>
      <c r="H10" s="5">
        <v>1282.0</v>
      </c>
      <c r="I10" s="5">
        <v>1433.0</v>
      </c>
      <c r="J10" s="5">
        <v>1141.0</v>
      </c>
      <c r="K10" s="5">
        <v>1092.0</v>
      </c>
      <c r="L10" s="5">
        <v>1202.0</v>
      </c>
      <c r="M10" s="5">
        <v>1311.0</v>
      </c>
      <c r="N10" s="10">
        <f t="shared" si="3"/>
        <v>1433</v>
      </c>
    </row>
    <row r="11" ht="14.25" customHeight="1">
      <c r="A11" s="4" t="s">
        <v>112</v>
      </c>
      <c r="B11" s="19">
        <v>22.0</v>
      </c>
      <c r="C11" s="19">
        <v>21.0</v>
      </c>
      <c r="D11" s="19">
        <v>23.0</v>
      </c>
      <c r="E11" s="19">
        <v>21.0</v>
      </c>
      <c r="F11" s="19">
        <v>22.0</v>
      </c>
      <c r="G11" s="19">
        <v>23.0</v>
      </c>
      <c r="H11" s="19">
        <v>25.0</v>
      </c>
      <c r="I11" s="19">
        <v>27.0</v>
      </c>
      <c r="J11" s="19">
        <v>27.0</v>
      </c>
      <c r="K11" s="19">
        <v>24.0</v>
      </c>
      <c r="L11" s="19">
        <v>26.0</v>
      </c>
      <c r="M11" s="19">
        <v>23.0</v>
      </c>
    </row>
    <row r="12" ht="14.25" customHeight="1">
      <c r="A12" s="4" t="s">
        <v>113</v>
      </c>
      <c r="B12" s="20">
        <v>2.0</v>
      </c>
      <c r="C12" s="20">
        <v>2.0</v>
      </c>
      <c r="D12" s="20">
        <v>2.0</v>
      </c>
      <c r="E12" s="20">
        <v>2.0</v>
      </c>
      <c r="F12" s="20">
        <v>2.0</v>
      </c>
      <c r="G12" s="20">
        <v>2.43</v>
      </c>
      <c r="H12" s="20">
        <v>3.6</v>
      </c>
      <c r="I12" s="20">
        <v>3.7</v>
      </c>
      <c r="J12" s="20">
        <v>3.63</v>
      </c>
      <c r="K12" s="20">
        <v>3.67</v>
      </c>
      <c r="L12" s="20">
        <v>3.69</v>
      </c>
      <c r="M12" s="20">
        <v>2.26</v>
      </c>
    </row>
    <row r="13" ht="14.25" customHeight="1">
      <c r="A13" s="4" t="s">
        <v>114</v>
      </c>
      <c r="B13" s="19">
        <v>31.0</v>
      </c>
      <c r="C13" s="19">
        <v>30.0</v>
      </c>
      <c r="D13" s="19">
        <v>31.0</v>
      </c>
      <c r="E13" s="19">
        <v>31.0</v>
      </c>
      <c r="F13" s="19">
        <v>30.0</v>
      </c>
      <c r="G13" s="19">
        <v>31.0</v>
      </c>
      <c r="H13" s="19">
        <v>30.0</v>
      </c>
      <c r="I13" s="19">
        <v>31.0</v>
      </c>
      <c r="J13" s="19">
        <v>31.0</v>
      </c>
      <c r="K13" s="19">
        <v>28.0</v>
      </c>
      <c r="L13" s="19">
        <v>31.0</v>
      </c>
      <c r="M13" s="19">
        <v>30.0</v>
      </c>
    </row>
    <row r="14" ht="14.25" customHeight="1">
      <c r="A14" s="4" t="s">
        <v>115</v>
      </c>
      <c r="B14" s="9">
        <v>1.0246</v>
      </c>
      <c r="C14" s="9">
        <v>1.0444</v>
      </c>
      <c r="D14" s="9">
        <v>1.0571</v>
      </c>
      <c r="E14" s="9">
        <v>1.0583</v>
      </c>
      <c r="F14" s="9">
        <v>1.0545</v>
      </c>
      <c r="G14" s="9">
        <v>1.0545</v>
      </c>
      <c r="H14" s="9">
        <v>1.0288</v>
      </c>
      <c r="I14" s="9">
        <v>0.9872</v>
      </c>
      <c r="J14" s="9">
        <v>0.9664</v>
      </c>
      <c r="K14" s="9">
        <v>0.9668</v>
      </c>
      <c r="L14" s="9">
        <v>0.9673</v>
      </c>
      <c r="M14" s="9">
        <v>0.9673</v>
      </c>
    </row>
    <row r="15" ht="14.25" customHeight="1">
      <c r="A15" s="4" t="s">
        <v>116</v>
      </c>
      <c r="B15" s="9">
        <v>1.8215</v>
      </c>
      <c r="C15" s="9">
        <v>1.8602</v>
      </c>
      <c r="D15" s="9">
        <v>1.8852</v>
      </c>
      <c r="E15" s="9">
        <v>1.8875</v>
      </c>
      <c r="F15" s="9">
        <v>1.8761</v>
      </c>
      <c r="G15" s="9">
        <v>1.8761</v>
      </c>
      <c r="H15" s="9">
        <v>1.8257</v>
      </c>
      <c r="I15" s="9">
        <v>1.7443</v>
      </c>
      <c r="J15" s="9">
        <v>1.7064</v>
      </c>
      <c r="K15" s="9">
        <v>1.7073</v>
      </c>
      <c r="L15" s="9">
        <v>1.7082</v>
      </c>
      <c r="M15" s="9">
        <v>1.7082</v>
      </c>
    </row>
    <row r="16" ht="14.25" customHeight="1">
      <c r="A16" s="4" t="s">
        <v>117</v>
      </c>
      <c r="B16" s="9">
        <v>2.0638</v>
      </c>
      <c r="C16" s="9">
        <v>2.1082</v>
      </c>
      <c r="D16" s="9">
        <v>2.1369</v>
      </c>
      <c r="E16" s="9">
        <v>2.1396</v>
      </c>
      <c r="F16" s="9">
        <v>2.1259</v>
      </c>
      <c r="G16" s="9">
        <v>2.1259</v>
      </c>
      <c r="H16" s="9">
        <v>2.068</v>
      </c>
      <c r="I16" s="9">
        <v>1.9745</v>
      </c>
      <c r="J16" s="9">
        <v>1.9314</v>
      </c>
      <c r="K16" s="9">
        <v>1.9325</v>
      </c>
      <c r="L16" s="9">
        <v>1.9335</v>
      </c>
      <c r="M16" s="9">
        <v>1.9334</v>
      </c>
    </row>
    <row r="17" ht="14.25" customHeight="1">
      <c r="A17" s="4" t="s">
        <v>118</v>
      </c>
      <c r="B17" s="21">
        <v>392.89</v>
      </c>
      <c r="C17" s="21">
        <v>402.23</v>
      </c>
      <c r="D17" s="21">
        <v>408.26</v>
      </c>
      <c r="E17" s="21">
        <v>408.83</v>
      </c>
      <c r="F17" s="21">
        <v>405.09</v>
      </c>
      <c r="G17" s="21">
        <v>405.09</v>
      </c>
      <c r="H17" s="21">
        <v>392.93</v>
      </c>
      <c r="I17" s="21">
        <v>373.28</v>
      </c>
      <c r="J17" s="21">
        <v>364.88</v>
      </c>
      <c r="K17" s="21">
        <v>365.09</v>
      </c>
      <c r="L17" s="21">
        <v>365.31</v>
      </c>
      <c r="M17" s="21">
        <v>365.3</v>
      </c>
    </row>
    <row r="18" ht="14.25" customHeight="1">
      <c r="A18" s="4" t="s">
        <v>119</v>
      </c>
      <c r="B18" s="21">
        <v>230.35</v>
      </c>
      <c r="C18" s="21">
        <v>230.35</v>
      </c>
      <c r="D18" s="21">
        <v>230.35</v>
      </c>
      <c r="E18" s="21">
        <v>230.35</v>
      </c>
      <c r="F18" s="21">
        <v>230.35</v>
      </c>
      <c r="G18" s="21">
        <v>230.35</v>
      </c>
      <c r="H18" s="21">
        <v>230.35</v>
      </c>
      <c r="I18" s="21">
        <v>230.35</v>
      </c>
      <c r="J18" s="21">
        <v>221.09</v>
      </c>
      <c r="K18" s="21">
        <v>221.09</v>
      </c>
      <c r="L18" s="21">
        <v>221.09</v>
      </c>
      <c r="M18" s="21">
        <v>221.09</v>
      </c>
    </row>
    <row r="19" ht="14.25" customHeight="1">
      <c r="A19" s="4" t="s">
        <v>121</v>
      </c>
      <c r="B19" s="5">
        <v>2520372.0</v>
      </c>
      <c r="C19" s="5">
        <v>2223521.0</v>
      </c>
      <c r="D19" s="5">
        <v>2510130.0</v>
      </c>
      <c r="E19" s="5">
        <v>2435442.0</v>
      </c>
      <c r="F19" s="5">
        <v>2253138.0</v>
      </c>
      <c r="G19" s="5">
        <v>2183503.0</v>
      </c>
      <c r="H19" s="5">
        <v>2247709.0</v>
      </c>
      <c r="I19" s="5">
        <v>2457378.0</v>
      </c>
      <c r="J19" s="5">
        <v>1987516.0</v>
      </c>
      <c r="K19" s="5">
        <v>1813798.0</v>
      </c>
      <c r="L19" s="5">
        <v>2181066.0</v>
      </c>
      <c r="M19" s="5">
        <v>2248346.0</v>
      </c>
      <c r="N19" s="10">
        <f>SUM(B19:M19)</f>
        <v>27061919</v>
      </c>
    </row>
    <row r="20" ht="14.25" customHeight="1">
      <c r="A20" s="4" t="s">
        <v>234</v>
      </c>
      <c r="B20" s="5">
        <f>B8/(24*B13*Supuestos!$B$15)</f>
        <v>2047.274099</v>
      </c>
      <c r="C20" s="5">
        <f>C8/(24*C13*Supuestos!$B$15)</f>
        <v>1637.105263</v>
      </c>
      <c r="D20" s="5">
        <f>D8/(24*D13*Supuestos!$B$15)</f>
        <v>1781.586022</v>
      </c>
      <c r="E20" s="5">
        <f>E8/(24*E13*Supuestos!$B$15)</f>
        <v>1702.421713</v>
      </c>
      <c r="F20" s="5">
        <f>F8/(24*F13*Supuestos!$B$15)</f>
        <v>1605.141326</v>
      </c>
      <c r="G20" s="5">
        <f>G8/(24*G13*Supuestos!$B$15)</f>
        <v>1519.192134</v>
      </c>
      <c r="H20" s="5">
        <f>H8/(24*H13*Supuestos!$B$15)</f>
        <v>1665.609162</v>
      </c>
      <c r="I20" s="5">
        <f>I8/(24*I13*Supuestos!$B$15)</f>
        <v>1897.993303</v>
      </c>
      <c r="J20" s="5">
        <f>J8/(24*J13*Supuestos!$B$15)</f>
        <v>1501.551594</v>
      </c>
      <c r="K20" s="5">
        <f>K8/(24*K13*Supuestos!$B$15)</f>
        <v>1452.300021</v>
      </c>
      <c r="L20" s="5">
        <f>L8/(24*L13*Supuestos!$B$15)</f>
        <v>1658.875684</v>
      </c>
      <c r="M20" s="5">
        <f>M8/(24*M13*Supuestos!$B$15)</f>
        <v>1790.977096</v>
      </c>
    </row>
    <row r="21" ht="14.25" customHeight="1">
      <c r="A21" s="4" t="s">
        <v>124</v>
      </c>
      <c r="B21" s="23">
        <v>166.408</v>
      </c>
      <c r="C21" s="23">
        <v>146.88</v>
      </c>
      <c r="D21" s="23">
        <v>156.984</v>
      </c>
      <c r="E21" s="23">
        <v>143.592</v>
      </c>
      <c r="F21" s="23">
        <v>129.84</v>
      </c>
      <c r="G21" s="23">
        <v>152.768</v>
      </c>
      <c r="H21" s="23">
        <v>154.32</v>
      </c>
      <c r="I21" s="23">
        <v>153.264</v>
      </c>
      <c r="J21" s="23">
        <v>159.712</v>
      </c>
      <c r="K21" s="23">
        <v>150.528</v>
      </c>
      <c r="L21" s="23">
        <v>184.512</v>
      </c>
      <c r="M21" s="23">
        <v>170.64</v>
      </c>
      <c r="N21" s="24">
        <f>SUM(B21:M21)</f>
        <v>1869.448</v>
      </c>
    </row>
    <row r="22" ht="14.25" customHeight="1"/>
    <row r="23" ht="14.25" customHeight="1">
      <c r="A23" s="1" t="s">
        <v>125</v>
      </c>
    </row>
    <row r="24" ht="14.25" customHeight="1">
      <c r="A24" s="18" t="s">
        <v>126</v>
      </c>
      <c r="C24" s="2" t="s">
        <v>127</v>
      </c>
      <c r="D24" s="2" t="s">
        <v>128</v>
      </c>
    </row>
    <row r="25" ht="14.25" customHeight="1">
      <c r="A25" s="4" t="s">
        <v>129</v>
      </c>
      <c r="C25" s="4" t="s">
        <v>130</v>
      </c>
      <c r="D25" s="4" t="s">
        <v>131</v>
      </c>
    </row>
    <row r="26" ht="14.25" customHeight="1">
      <c r="A26" s="4" t="s">
        <v>132</v>
      </c>
      <c r="C26" s="25">
        <v>1618.0</v>
      </c>
      <c r="D26" s="25">
        <v>839.45</v>
      </c>
    </row>
    <row r="27" ht="14.25" customHeight="1">
      <c r="A27" s="4" t="s">
        <v>133</v>
      </c>
      <c r="C27" s="5">
        <f>C26*Supuestos!$B$24</f>
        <v>6472</v>
      </c>
      <c r="D27" s="5">
        <f>D26*Supuestos!$B$24</f>
        <v>3357.8</v>
      </c>
    </row>
    <row r="28" ht="14.25" customHeight="1">
      <c r="A28" s="4" t="s">
        <v>134</v>
      </c>
      <c r="C28" s="25">
        <v>1648.0</v>
      </c>
      <c r="D28" s="25">
        <v>1648.0</v>
      </c>
    </row>
    <row r="29" ht="14.25" customHeight="1">
      <c r="A29" s="4" t="s">
        <v>135</v>
      </c>
      <c r="C29" s="25">
        <v>3296.0</v>
      </c>
      <c r="D29" s="25">
        <v>3296.0</v>
      </c>
    </row>
    <row r="30" ht="14.25" customHeight="1">
      <c r="A30" s="4" t="s">
        <v>136</v>
      </c>
      <c r="C30" s="5">
        <f>C29*Supuestos!$B$13*SQRT(Supuestos!$B$14)</f>
        <v>3100.230986</v>
      </c>
      <c r="D30" s="5">
        <f>D29*Supuestos!$B$13*SQRT(Supuestos!$B$14)</f>
        <v>3100.230986</v>
      </c>
    </row>
    <row r="31" ht="14.25" customHeight="1">
      <c r="A31" s="4" t="s">
        <v>137</v>
      </c>
      <c r="C31" s="26">
        <v>1.2257986624594348</v>
      </c>
      <c r="D31" s="26">
        <v>1.434160739407576</v>
      </c>
    </row>
    <row r="32" ht="14.25" customHeight="1">
      <c r="A32" s="4" t="s">
        <v>138</v>
      </c>
      <c r="C32" s="8">
        <f>Supuestos!$B$17</f>
        <v>0.5</v>
      </c>
      <c r="D32" s="8">
        <f>Supuestos!$B$17</f>
        <v>0.5</v>
      </c>
    </row>
    <row r="33" ht="14.25" customHeight="1">
      <c r="A33" s="4" t="s">
        <v>139</v>
      </c>
      <c r="C33" s="5">
        <f>C26*1000*Supuestos!$B$5</f>
        <v>1051700</v>
      </c>
      <c r="D33" s="5">
        <f>D26*1000*Supuestos!$B$5</f>
        <v>545642.5</v>
      </c>
    </row>
    <row r="34" ht="14.25" customHeight="1">
      <c r="A34" s="4" t="s">
        <v>140</v>
      </c>
      <c r="C34" s="5">
        <f>C33*Supuestos!$B$4</f>
        <v>18457335</v>
      </c>
      <c r="D34" s="5">
        <f>D33*Supuestos!$B$4</f>
        <v>9576025.875</v>
      </c>
    </row>
    <row r="35" ht="14.25" customHeight="1">
      <c r="A35" s="4" t="s">
        <v>141</v>
      </c>
      <c r="C35" s="5">
        <f>C29*1000*Supuestos!$B$7</f>
        <v>922880</v>
      </c>
      <c r="D35" s="5">
        <f>D29*1000*Supuestos!$B$7</f>
        <v>922880</v>
      </c>
    </row>
    <row r="36" ht="14.25" customHeight="1">
      <c r="A36" s="4" t="s">
        <v>142</v>
      </c>
      <c r="C36" s="5">
        <f>C35*Supuestos!$B$4</f>
        <v>16196544</v>
      </c>
      <c r="D36" s="5">
        <f>D35*Supuestos!$B$4</f>
        <v>16196544</v>
      </c>
    </row>
    <row r="37" ht="14.25" customHeight="1">
      <c r="A37" s="27" t="s">
        <v>143</v>
      </c>
      <c r="B37" s="28"/>
      <c r="C37" s="28"/>
      <c r="D37" s="28"/>
    </row>
    <row r="38" ht="14.25" customHeight="1">
      <c r="A38" s="4" t="s">
        <v>144</v>
      </c>
      <c r="C38" s="25">
        <v>0.0</v>
      </c>
      <c r="D38" s="5">
        <f>C38</f>
        <v>0</v>
      </c>
    </row>
    <row r="39" ht="14.25" customHeight="1">
      <c r="A39" s="4" t="s">
        <v>145</v>
      </c>
      <c r="C39" s="25">
        <f t="shared" ref="C39:D39" si="4">$N$19+C38</f>
        <v>27061919</v>
      </c>
      <c r="D39" s="25">
        <f t="shared" si="4"/>
        <v>27061919</v>
      </c>
    </row>
    <row r="40" ht="14.25" customHeight="1">
      <c r="A40" s="4" t="s">
        <v>146</v>
      </c>
      <c r="C40" s="5">
        <f t="shared" ref="C40:D40" si="5">C39-C38</f>
        <v>27061919</v>
      </c>
      <c r="D40" s="5">
        <f t="shared" si="5"/>
        <v>27061919</v>
      </c>
    </row>
    <row r="41" ht="14.25" customHeight="1">
      <c r="A41" s="4" t="s">
        <v>147</v>
      </c>
      <c r="C41" s="5">
        <f>C72</f>
        <v>3024766.864</v>
      </c>
      <c r="D41" s="5">
        <f>C89</f>
        <v>1569308.124</v>
      </c>
    </row>
    <row r="42" ht="14.25" customHeight="1">
      <c r="A42" s="4" t="s">
        <v>148</v>
      </c>
      <c r="C42" s="5">
        <f>K72</f>
        <v>2964267.827</v>
      </c>
      <c r="D42" s="5">
        <f>K89</f>
        <v>1569312.124</v>
      </c>
    </row>
    <row r="43" ht="14.25" customHeight="1">
      <c r="A43" s="4" t="s">
        <v>149</v>
      </c>
      <c r="C43" s="5">
        <f>M72</f>
        <v>5639214.424</v>
      </c>
      <c r="D43" s="5">
        <f>M89</f>
        <v>3104778.994</v>
      </c>
    </row>
    <row r="44" ht="14.25" customHeight="1">
      <c r="A44" s="4" t="s">
        <v>150</v>
      </c>
      <c r="C44" s="5">
        <f>R72*(12-Supuestos!$B$16)/12</f>
        <v>4180289.581</v>
      </c>
      <c r="D44" s="5">
        <f>R89*(12-Supuestos!$B$16)/12</f>
        <v>4180289.581</v>
      </c>
    </row>
    <row r="45" ht="14.25" customHeight="1">
      <c r="A45" s="3" t="s">
        <v>151</v>
      </c>
      <c r="C45" s="7">
        <f t="shared" ref="C45:D45" si="6">C43+C44</f>
        <v>9819504.004</v>
      </c>
      <c r="D45" s="7">
        <f t="shared" si="6"/>
        <v>7285068.575</v>
      </c>
    </row>
    <row r="46" ht="14.25" customHeight="1">
      <c r="A46" s="4" t="s">
        <v>152</v>
      </c>
      <c r="C46" s="5">
        <f t="shared" ref="C46:D46" si="7">C42*C31</f>
        <v>2967232.095</v>
      </c>
      <c r="D46" s="5">
        <f t="shared" si="7"/>
        <v>1539495.193</v>
      </c>
    </row>
    <row r="47" ht="14.25" customHeight="1">
      <c r="A47" s="4" t="s">
        <v>153</v>
      </c>
      <c r="C47" s="5">
        <f t="shared" ref="C47:D47" si="8">C44*C32</f>
        <v>2090144.79</v>
      </c>
      <c r="D47" s="5">
        <f t="shared" si="8"/>
        <v>2090144.79</v>
      </c>
    </row>
    <row r="48" ht="14.25" customHeight="1">
      <c r="A48" s="3" t="s">
        <v>154</v>
      </c>
      <c r="C48" s="7">
        <f t="shared" ref="C48:D48" si="9">C45-C46-C47</f>
        <v>4762127.119</v>
      </c>
      <c r="D48" s="7">
        <f t="shared" si="9"/>
        <v>3655428.591</v>
      </c>
    </row>
    <row r="49" ht="14.25" customHeight="1">
      <c r="A49" s="4" t="s">
        <v>155</v>
      </c>
      <c r="C49" s="8">
        <f t="shared" ref="C49:D49" si="10">C45/$N$19</f>
        <v>0.3628532036</v>
      </c>
      <c r="D49" s="8">
        <f t="shared" si="10"/>
        <v>0.2691999993</v>
      </c>
    </row>
    <row r="50" ht="14.25" customHeight="1">
      <c r="A50" s="4" t="s">
        <v>156</v>
      </c>
      <c r="C50" s="8">
        <f t="shared" ref="C50:D50" si="11">C48/$N$19</f>
        <v>0.1759715237</v>
      </c>
      <c r="D50" s="8">
        <f t="shared" si="11"/>
        <v>0.1350764737</v>
      </c>
    </row>
    <row r="51" ht="14.25" customHeight="1">
      <c r="A51" s="4" t="s">
        <v>157</v>
      </c>
      <c r="C51" s="8">
        <f>IRR(M94:M114)</f>
        <v>0.1431630958</v>
      </c>
      <c r="D51" s="8">
        <f>IRR(M119:M139)</f>
        <v>0.1431683643</v>
      </c>
    </row>
    <row r="52" ht="14.25" customHeight="1">
      <c r="A52" s="4" t="s">
        <v>158</v>
      </c>
      <c r="C52" s="8">
        <f>IRR(N94:N114)</f>
        <v>0.07198513892</v>
      </c>
      <c r="D52" s="8">
        <f>IRR(N119:N139)</f>
        <v>0.07198513892</v>
      </c>
    </row>
    <row r="53" ht="14.25" customHeight="1">
      <c r="A53" s="4" t="s">
        <v>159</v>
      </c>
      <c r="C53" s="8">
        <v>0.7236</v>
      </c>
      <c r="D53" s="8">
        <v>0.7236</v>
      </c>
    </row>
    <row r="54" ht="14.25" customHeight="1">
      <c r="A54" s="4" t="s">
        <v>160</v>
      </c>
      <c r="C54" s="19">
        <f>COUNTIF(O94:O114,"&lt;0")</f>
        <v>7</v>
      </c>
      <c r="D54" s="19">
        <f>COUNTIF(O119:O139,"&lt;0")</f>
        <v>7</v>
      </c>
    </row>
    <row r="55" ht="14.25" customHeight="1">
      <c r="A55" s="4" t="s">
        <v>161</v>
      </c>
      <c r="C55" s="5">
        <f t="array" ref="C55">NPV(Supuestos!$B$21,J95:J114)</f>
        <v>53050224.74</v>
      </c>
      <c r="D55" s="5">
        <f t="array" ref="D55">NPV(Supuestos!$B$21,J120:J139)</f>
        <v>40039295.01</v>
      </c>
    </row>
    <row r="56" ht="14.25" customHeight="1"/>
    <row r="57" ht="14.25" customHeight="1"/>
    <row r="58" ht="14.25" customHeight="1">
      <c r="A58" s="1" t="s">
        <v>162</v>
      </c>
    </row>
    <row r="59" ht="14.25" customHeight="1">
      <c r="B59" s="2" t="s">
        <v>92</v>
      </c>
      <c r="C59" s="2" t="s">
        <v>163</v>
      </c>
      <c r="D59" s="2" t="s">
        <v>164</v>
      </c>
      <c r="E59" s="2" t="s">
        <v>165</v>
      </c>
      <c r="F59" s="2" t="s">
        <v>166</v>
      </c>
      <c r="G59" s="2" t="s">
        <v>167</v>
      </c>
      <c r="H59" s="2" t="s">
        <v>168</v>
      </c>
      <c r="I59" s="2" t="s">
        <v>169</v>
      </c>
      <c r="J59" s="2" t="s">
        <v>170</v>
      </c>
      <c r="K59" s="2" t="s">
        <v>171</v>
      </c>
      <c r="L59" s="2" t="s">
        <v>172</v>
      </c>
      <c r="M59" s="2" t="s">
        <v>173</v>
      </c>
      <c r="N59" s="2" t="s">
        <v>174</v>
      </c>
      <c r="O59" s="2" t="s">
        <v>175</v>
      </c>
      <c r="P59" s="2" t="s">
        <v>176</v>
      </c>
      <c r="Q59" s="2" t="s">
        <v>177</v>
      </c>
      <c r="R59" s="2" t="s">
        <v>178</v>
      </c>
      <c r="S59" s="3" t="s">
        <v>179</v>
      </c>
      <c r="T59" s="3" t="s">
        <v>180</v>
      </c>
    </row>
    <row r="60" ht="14.25" customHeight="1">
      <c r="B60" s="4" t="s">
        <v>93</v>
      </c>
      <c r="C60" s="5">
        <f>$C$26*B$21</f>
        <v>269248.144</v>
      </c>
      <c r="D60" s="8">
        <v>0.129033456144521</v>
      </c>
      <c r="E60" s="8">
        <v>0.870966543855479</v>
      </c>
      <c r="F60" s="8">
        <v>0.0</v>
      </c>
      <c r="G60" s="5">
        <f t="shared" ref="G60:G71" si="12">C60*D60</f>
        <v>34742.01858</v>
      </c>
      <c r="H60" s="5">
        <f t="shared" ref="H60:H71" si="13">C60*E60</f>
        <v>234506.1254</v>
      </c>
      <c r="I60" s="5">
        <f t="shared" ref="I60:I71" si="14">C60*F60</f>
        <v>0</v>
      </c>
      <c r="J60" s="5">
        <f>G60*B$14+H60*B$15+I60*B$16</f>
        <v>462749.5797</v>
      </c>
      <c r="K60" s="5">
        <f t="shared" ref="K60:K71" si="15">G60+H60+I60</f>
        <v>269248.144</v>
      </c>
      <c r="L60" s="25">
        <v>31009.0</v>
      </c>
      <c r="M60" s="5">
        <f t="shared" ref="M60:M71" si="16">J60+L60*$C$26/1618</f>
        <v>493758.5797</v>
      </c>
      <c r="N60" s="5">
        <f>MIN($C$30*B$11,$C$28*B$12*B$11,B$7)</f>
        <v>49413</v>
      </c>
      <c r="O60" s="5">
        <f>N60/Supuestos!$B$14*B$14</f>
        <v>52738.08313</v>
      </c>
      <c r="P60" s="5">
        <f>N60*B$16-O60</f>
        <v>49240.46628</v>
      </c>
      <c r="Q60" s="5">
        <f>441224*MIN(1,$C$30/3100)</f>
        <v>441224</v>
      </c>
      <c r="R60" s="5">
        <f t="shared" ref="R60:R71" si="17">P60+Q60</f>
        <v>490464.4663</v>
      </c>
      <c r="S60" s="5">
        <f>Q60/B$17</f>
        <v>1123.021711</v>
      </c>
      <c r="T60" s="5">
        <f>B$9-S60</f>
        <v>-0.02171091145</v>
      </c>
    </row>
    <row r="61" ht="14.25" customHeight="1">
      <c r="B61" s="4" t="s">
        <v>94</v>
      </c>
      <c r="C61" s="5">
        <f>$C$26*C$21</f>
        <v>237651.84</v>
      </c>
      <c r="D61" s="8">
        <v>0.1666680692777675</v>
      </c>
      <c r="E61" s="8">
        <v>0.8313542490700688</v>
      </c>
      <c r="F61" s="8">
        <v>0.0</v>
      </c>
      <c r="G61" s="5">
        <f t="shared" si="12"/>
        <v>39608.97333</v>
      </c>
      <c r="H61" s="5">
        <f t="shared" si="13"/>
        <v>197572.867</v>
      </c>
      <c r="I61" s="5">
        <f t="shared" si="14"/>
        <v>0</v>
      </c>
      <c r="J61" s="5">
        <f>G61*C$14+H61*C$15+I61*C$16</f>
        <v>408892.6589</v>
      </c>
      <c r="K61" s="5">
        <f t="shared" si="15"/>
        <v>237181.8403</v>
      </c>
      <c r="L61" s="25">
        <v>22603.0</v>
      </c>
      <c r="M61" s="5">
        <f t="shared" si="16"/>
        <v>431495.6589</v>
      </c>
      <c r="N61" s="5">
        <f>MIN($C$30*C$11,$C$28*C$12*C$11,C$7)</f>
        <v>42282</v>
      </c>
      <c r="O61" s="5">
        <f>N61/Supuestos!$B$14*C$14</f>
        <v>45999.2925</v>
      </c>
      <c r="P61" s="5">
        <f>N61*C$16-O61</f>
        <v>43139.6199</v>
      </c>
      <c r="Q61" s="5">
        <f>404931*MIN(1,$C$30/3100)</f>
        <v>404931</v>
      </c>
      <c r="R61" s="5">
        <f t="shared" si="17"/>
        <v>448070.6199</v>
      </c>
      <c r="S61" s="5">
        <f>Q61/C$17</f>
        <v>1006.715064</v>
      </c>
      <c r="T61" s="5">
        <f>C$9-S61</f>
        <v>0.2849364791</v>
      </c>
    </row>
    <row r="62" ht="14.25" customHeight="1">
      <c r="B62" s="4" t="s">
        <v>95</v>
      </c>
      <c r="C62" s="5">
        <f>$C$26*D$21</f>
        <v>254000.112</v>
      </c>
      <c r="D62" s="8">
        <v>0.127259842519685</v>
      </c>
      <c r="E62" s="8">
        <v>0.8709685039370079</v>
      </c>
      <c r="F62" s="8">
        <v>0.0</v>
      </c>
      <c r="G62" s="5">
        <f t="shared" si="12"/>
        <v>32324.01425</v>
      </c>
      <c r="H62" s="5">
        <f t="shared" si="13"/>
        <v>221226.0975</v>
      </c>
      <c r="I62" s="5">
        <f t="shared" si="14"/>
        <v>0</v>
      </c>
      <c r="J62" s="5">
        <f>G62*D$14+H62*D$15+I62*D$16</f>
        <v>451225.1546</v>
      </c>
      <c r="K62" s="5">
        <f t="shared" si="15"/>
        <v>253550.1118</v>
      </c>
      <c r="L62" s="25">
        <v>54790.0</v>
      </c>
      <c r="M62" s="5">
        <f t="shared" si="16"/>
        <v>506015.1546</v>
      </c>
      <c r="N62" s="5">
        <f>MIN($C$30*D$11,$C$28*D$12*D$11,D$7)</f>
        <v>56718</v>
      </c>
      <c r="O62" s="5">
        <f>N62/Supuestos!$B$14*D$14</f>
        <v>62454.78938</v>
      </c>
      <c r="P62" s="5">
        <f>N62*D$16-O62</f>
        <v>58745.90483</v>
      </c>
      <c r="Q62" s="5">
        <f>503385*MIN(1,$C$30/3100)</f>
        <v>503385</v>
      </c>
      <c r="R62" s="5">
        <f t="shared" si="17"/>
        <v>562130.9048</v>
      </c>
      <c r="S62" s="5">
        <f>Q62/D$17</f>
        <v>1233.001029</v>
      </c>
      <c r="T62" s="5">
        <f>D$9-S62</f>
        <v>-0.001028756185</v>
      </c>
    </row>
    <row r="63" ht="14.25" customHeight="1">
      <c r="B63" s="4" t="s">
        <v>96</v>
      </c>
      <c r="C63" s="5">
        <f>$C$26*E$21</f>
        <v>232331.856</v>
      </c>
      <c r="D63" s="8">
        <v>0.1600554379078216</v>
      </c>
      <c r="E63" s="8">
        <v>0.8387092608852849</v>
      </c>
      <c r="F63" s="8">
        <v>0.0</v>
      </c>
      <c r="G63" s="5">
        <f t="shared" si="12"/>
        <v>37185.97695</v>
      </c>
      <c r="H63" s="5">
        <f t="shared" si="13"/>
        <v>194858.8792</v>
      </c>
      <c r="I63" s="5">
        <f t="shared" si="14"/>
        <v>0</v>
      </c>
      <c r="J63" s="5">
        <f>G63*E$14+H63*E$15+I63*E$16</f>
        <v>407150.0539</v>
      </c>
      <c r="K63" s="5">
        <f t="shared" si="15"/>
        <v>232044.8562</v>
      </c>
      <c r="L63" s="25">
        <v>27226.0</v>
      </c>
      <c r="M63" s="5">
        <f t="shared" si="16"/>
        <v>434376.0539</v>
      </c>
      <c r="N63" s="5">
        <f>MIN($C$30*E$11,$C$28*E$12*E$11,E$7)</f>
        <v>44577</v>
      </c>
      <c r="O63" s="5">
        <f>N63/Supuestos!$B$14*E$14</f>
        <v>49141.49906</v>
      </c>
      <c r="P63" s="5">
        <f>N63*E$16-O63</f>
        <v>46235.45014</v>
      </c>
      <c r="Q63" s="5">
        <f>433915*MIN(1,$C$30/3100)</f>
        <v>433915</v>
      </c>
      <c r="R63" s="5">
        <f t="shared" si="17"/>
        <v>480150.4501</v>
      </c>
      <c r="S63" s="5">
        <f>Q63/E$17</f>
        <v>1061.358022</v>
      </c>
      <c r="T63" s="5">
        <f>E$9-S63</f>
        <v>-0.3580216716</v>
      </c>
    </row>
    <row r="64" ht="14.25" customHeight="1">
      <c r="B64" s="4" t="s">
        <v>97</v>
      </c>
      <c r="C64" s="5">
        <f>$C$26*F$21</f>
        <v>210081.12</v>
      </c>
      <c r="D64" s="8">
        <v>0.1333342853470804</v>
      </c>
      <c r="E64" s="8">
        <v>0.8666657146529196</v>
      </c>
      <c r="F64" s="8">
        <v>0.0</v>
      </c>
      <c r="G64" s="5">
        <f t="shared" si="12"/>
        <v>28011.016</v>
      </c>
      <c r="H64" s="5">
        <f t="shared" si="13"/>
        <v>182070.104</v>
      </c>
      <c r="I64" s="5">
        <f t="shared" si="14"/>
        <v>0</v>
      </c>
      <c r="J64" s="5">
        <f>G64*F$14+H64*F$15+I64*F$16</f>
        <v>371119.3385</v>
      </c>
      <c r="K64" s="5">
        <f t="shared" si="15"/>
        <v>210081.12</v>
      </c>
      <c r="L64" s="25">
        <v>55789.0</v>
      </c>
      <c r="M64" s="5">
        <f t="shared" si="16"/>
        <v>426908.3385</v>
      </c>
      <c r="N64" s="5">
        <f>MIN($C$30*F$11,$C$28*F$12*F$11,F$7)</f>
        <v>49268</v>
      </c>
      <c r="O64" s="5">
        <f>N64/Supuestos!$B$14*F$14</f>
        <v>54117.81875</v>
      </c>
      <c r="P64" s="5">
        <f>N64*F$16-O64</f>
        <v>50621.02245</v>
      </c>
      <c r="Q64" s="5">
        <f>453590*MIN(1,$C$30/3100)</f>
        <v>453590</v>
      </c>
      <c r="R64" s="5">
        <f t="shared" si="17"/>
        <v>504211.0225</v>
      </c>
      <c r="S64" s="5">
        <f>Q64/F$17</f>
        <v>1119.726481</v>
      </c>
      <c r="T64" s="5">
        <f>F$9-S64</f>
        <v>0.2735194648</v>
      </c>
    </row>
    <row r="65" ht="14.25" customHeight="1">
      <c r="B65" s="4" t="s">
        <v>98</v>
      </c>
      <c r="C65" s="5">
        <f>$C$26*G$21</f>
        <v>247178.624</v>
      </c>
      <c r="D65" s="8">
        <v>0.1164095655375254</v>
      </c>
      <c r="E65" s="8">
        <v>0.8661496324525951</v>
      </c>
      <c r="F65" s="8">
        <v>0.002544714559084712</v>
      </c>
      <c r="G65" s="5">
        <f t="shared" si="12"/>
        <v>28773.95623</v>
      </c>
      <c r="H65" s="5">
        <f t="shared" si="13"/>
        <v>214093.6743</v>
      </c>
      <c r="I65" s="5">
        <f t="shared" si="14"/>
        <v>628.9990432</v>
      </c>
      <c r="J65" s="5">
        <f>G65*G$14+H65*G$15+I65*G$16</f>
        <v>433340.4683</v>
      </c>
      <c r="K65" s="5">
        <f t="shared" si="15"/>
        <v>243496.6296</v>
      </c>
      <c r="L65" s="25">
        <v>59144.0</v>
      </c>
      <c r="M65" s="5">
        <f t="shared" si="16"/>
        <v>492484.4683</v>
      </c>
      <c r="N65" s="5">
        <f>MIN($C$30*G$11,$C$28*G$12*G$11,G$7)</f>
        <v>56344</v>
      </c>
      <c r="O65" s="5">
        <f>N65/Supuestos!$B$14*G$14</f>
        <v>61890.3625</v>
      </c>
      <c r="P65" s="5">
        <f>N65*G$16-O65</f>
        <v>57891.3471</v>
      </c>
      <c r="Q65" s="5">
        <f>313968*MIN(1,$C$30/3100)</f>
        <v>313968</v>
      </c>
      <c r="R65" s="5">
        <f t="shared" si="17"/>
        <v>371859.3471</v>
      </c>
      <c r="S65" s="5">
        <f>Q65/G$17</f>
        <v>775.0573947</v>
      </c>
      <c r="T65" s="5">
        <f>G$9-S65</f>
        <v>348.9426053</v>
      </c>
    </row>
    <row r="66" ht="14.25" customHeight="1">
      <c r="B66" s="4" t="s">
        <v>99</v>
      </c>
      <c r="C66" s="5">
        <f>$C$26*H$21</f>
        <v>249689.76</v>
      </c>
      <c r="D66" s="8">
        <v>0.1692538748047579</v>
      </c>
      <c r="E66" s="8">
        <v>0.8044014578076816</v>
      </c>
      <c r="F66" s="8">
        <v>0.01051303616484441</v>
      </c>
      <c r="G66" s="5">
        <f t="shared" si="12"/>
        <v>42260.95938</v>
      </c>
      <c r="H66" s="5">
        <f t="shared" si="13"/>
        <v>200850.8069</v>
      </c>
      <c r="I66" s="5">
        <f t="shared" si="14"/>
        <v>2624.997477</v>
      </c>
      <c r="J66" s="5">
        <f>G66*H$14+H66*H$15+I66*H$16</f>
        <v>415599.888</v>
      </c>
      <c r="K66" s="5">
        <f t="shared" si="15"/>
        <v>245736.7638</v>
      </c>
      <c r="L66" s="25">
        <v>59994.0</v>
      </c>
      <c r="M66" s="5">
        <f t="shared" si="16"/>
        <v>475593.888</v>
      </c>
      <c r="N66" s="5">
        <f>MIN($C$30*H$11,$C$28*H$12*H$11,H$7)</f>
        <v>77505.77465</v>
      </c>
      <c r="O66" s="5">
        <f>N66/Supuestos!$B$14*H$14</f>
        <v>83060.35516</v>
      </c>
      <c r="P66" s="5">
        <f>N66*H$16-O66</f>
        <v>77221.5868</v>
      </c>
      <c r="Q66" s="5">
        <f>304543*MIN(1,$C$30/3100)</f>
        <v>304543</v>
      </c>
      <c r="R66" s="5">
        <f t="shared" si="17"/>
        <v>381764.5868</v>
      </c>
      <c r="S66" s="5">
        <f>Q66/H$17</f>
        <v>775.0566259</v>
      </c>
      <c r="T66" s="5">
        <f>H$9-S66</f>
        <v>285.9433741</v>
      </c>
    </row>
    <row r="67" ht="14.25" customHeight="1">
      <c r="B67" s="4" t="s">
        <v>100</v>
      </c>
      <c r="C67" s="5">
        <f>$C$26*I$21</f>
        <v>247981.152</v>
      </c>
      <c r="D67" s="8">
        <v>0.1310342324613579</v>
      </c>
      <c r="E67" s="8">
        <v>0.8572632580721911</v>
      </c>
      <c r="F67" s="8">
        <v>0.01170250946645106</v>
      </c>
      <c r="G67" s="5">
        <f t="shared" si="12"/>
        <v>32494.01992</v>
      </c>
      <c r="H67" s="5">
        <f t="shared" si="13"/>
        <v>212585.1303</v>
      </c>
      <c r="I67" s="5">
        <f t="shared" si="14"/>
        <v>2902.001779</v>
      </c>
      <c r="J67" s="5">
        <f>G67*I$14+H67*I$15+I67*I$16</f>
        <v>408620.3418</v>
      </c>
      <c r="K67" s="5">
        <f t="shared" si="15"/>
        <v>247981.152</v>
      </c>
      <c r="L67" s="25">
        <v>57661.0</v>
      </c>
      <c r="M67" s="5">
        <f t="shared" si="16"/>
        <v>466281.3418</v>
      </c>
      <c r="N67" s="5">
        <f>MIN($C$30*I$11,$C$28*I$12*I$11,I$7)</f>
        <v>83706.23662</v>
      </c>
      <c r="O67" s="5">
        <f>N67/Supuestos!$B$14*I$14</f>
        <v>86077.91332</v>
      </c>
      <c r="P67" s="5">
        <f>N67*I$16-O67</f>
        <v>79200.05088</v>
      </c>
      <c r="Q67" s="5">
        <f>289313*MIN(1,$C$30/3100)</f>
        <v>289313</v>
      </c>
      <c r="R67" s="5">
        <f t="shared" si="17"/>
        <v>368513.0509</v>
      </c>
      <c r="S67" s="5">
        <f>Q67/I$17</f>
        <v>775.056258</v>
      </c>
      <c r="T67" s="5">
        <f>I$9-S67</f>
        <v>506.943742</v>
      </c>
    </row>
    <row r="68" ht="14.25" customHeight="1">
      <c r="B68" s="4" t="s">
        <v>101</v>
      </c>
      <c r="C68" s="5">
        <f>$C$26*J$21</f>
        <v>258414.016</v>
      </c>
      <c r="D68" s="8">
        <v>0.1153923549033721</v>
      </c>
      <c r="E68" s="8">
        <v>0.8339021879619525</v>
      </c>
      <c r="F68" s="8">
        <v>0.01119134412222248</v>
      </c>
      <c r="G68" s="5">
        <f t="shared" si="12"/>
        <v>29819.00185</v>
      </c>
      <c r="H68" s="5">
        <f t="shared" si="13"/>
        <v>215492.0133</v>
      </c>
      <c r="I68" s="5">
        <f t="shared" si="14"/>
        <v>2892.000179</v>
      </c>
      <c r="J68" s="5">
        <f>G68*J$14+H68*J$15+I68*J$16</f>
        <v>402118.2641</v>
      </c>
      <c r="K68" s="5">
        <f t="shared" si="15"/>
        <v>248203.0154</v>
      </c>
      <c r="L68" s="25">
        <v>66179.0</v>
      </c>
      <c r="M68" s="5">
        <f t="shared" si="16"/>
        <v>468297.2641</v>
      </c>
      <c r="N68" s="5">
        <f>MIN($C$30*J$11,$C$28*J$12*J$11,J$7)</f>
        <v>83706.23662</v>
      </c>
      <c r="O68" s="5">
        <f>N68/Supuestos!$B$14*J$14</f>
        <v>84264.27819</v>
      </c>
      <c r="P68" s="5">
        <f>N68*J$16-O68</f>
        <v>77405.94721</v>
      </c>
      <c r="Q68" s="5">
        <f>282804*MIN(1,$C$30/3100)</f>
        <v>282804</v>
      </c>
      <c r="R68" s="5">
        <f t="shared" si="17"/>
        <v>360209.9472</v>
      </c>
      <c r="S68" s="5">
        <f>Q68/J$17</f>
        <v>775.0602938</v>
      </c>
      <c r="T68" s="5">
        <f>J$9-S68</f>
        <v>365.9397062</v>
      </c>
    </row>
    <row r="69" ht="14.25" customHeight="1">
      <c r="B69" s="4" t="s">
        <v>102</v>
      </c>
      <c r="C69" s="5">
        <f>$C$26*K$21</f>
        <v>243554.304</v>
      </c>
      <c r="D69" s="8">
        <v>0.1281481724792038</v>
      </c>
      <c r="E69" s="8">
        <v>0.7739022968212388</v>
      </c>
      <c r="F69" s="8">
        <v>0.0112664953152073</v>
      </c>
      <c r="G69" s="5">
        <f t="shared" si="12"/>
        <v>31211.03896</v>
      </c>
      <c r="H69" s="5">
        <f t="shared" si="13"/>
        <v>188487.2353</v>
      </c>
      <c r="I69" s="5">
        <f t="shared" si="14"/>
        <v>2744.003425</v>
      </c>
      <c r="J69" s="5">
        <f>G69*K$14+H69*K$15+I69*K$16</f>
        <v>357281.8759</v>
      </c>
      <c r="K69" s="5">
        <f t="shared" si="15"/>
        <v>222442.2776</v>
      </c>
      <c r="L69" s="25">
        <v>68744.0</v>
      </c>
      <c r="M69" s="5">
        <f t="shared" si="16"/>
        <v>426025.8759</v>
      </c>
      <c r="N69" s="5">
        <f>MIN($C$30*K$11,$C$28*K$12*K$11,K$7)</f>
        <v>74405.54366</v>
      </c>
      <c r="O69" s="5">
        <f>N69/Supuestos!$B$14*K$14</f>
        <v>74932.58293</v>
      </c>
      <c r="P69" s="5">
        <f>N69*K$16-O69</f>
        <v>68856.13019</v>
      </c>
      <c r="Q69" s="5">
        <f>282966*MIN(1,$C$30/3100)</f>
        <v>282966</v>
      </c>
      <c r="R69" s="5">
        <f t="shared" si="17"/>
        <v>351822.1302</v>
      </c>
      <c r="S69" s="5">
        <f>Q69/K$17</f>
        <v>775.0582048</v>
      </c>
      <c r="T69" s="5">
        <f>K$9-S69</f>
        <v>316.9417952</v>
      </c>
    </row>
    <row r="70" ht="14.25" customHeight="1">
      <c r="B70" s="4" t="s">
        <v>103</v>
      </c>
      <c r="C70" s="5">
        <f>$C$26*L$21</f>
        <v>298540.416</v>
      </c>
      <c r="D70" s="8">
        <v>0.1420211696925035</v>
      </c>
      <c r="E70" s="8">
        <v>0.7876632947008776</v>
      </c>
      <c r="F70" s="8">
        <v>0.01119113016681182</v>
      </c>
      <c r="G70" s="5">
        <f t="shared" si="12"/>
        <v>42399.05908</v>
      </c>
      <c r="H70" s="5">
        <f t="shared" si="13"/>
        <v>235149.3277</v>
      </c>
      <c r="I70" s="5">
        <f t="shared" si="14"/>
        <v>3341.004656</v>
      </c>
      <c r="J70" s="5">
        <f>G70*L$14+H70*L$15+I70*L$16</f>
        <v>449154.5239</v>
      </c>
      <c r="K70" s="5">
        <f t="shared" si="15"/>
        <v>280889.3914</v>
      </c>
      <c r="L70" s="25">
        <v>60076.0</v>
      </c>
      <c r="M70" s="5">
        <f t="shared" si="16"/>
        <v>509230.5239</v>
      </c>
      <c r="N70" s="5">
        <f>MIN($C$30*L$11,$C$28*L$12*L$11,L$7)</f>
        <v>80606.00563</v>
      </c>
      <c r="O70" s="5">
        <f>N70/Supuestos!$B$14*L$14</f>
        <v>81218.94713</v>
      </c>
      <c r="P70" s="5">
        <f>N70*L$16-O70</f>
        <v>74632.76476</v>
      </c>
      <c r="Q70" s="5">
        <f>283136*MIN(1,$C$30/3100)</f>
        <v>283136</v>
      </c>
      <c r="R70" s="5">
        <f t="shared" si="17"/>
        <v>357768.7648</v>
      </c>
      <c r="S70" s="5">
        <f>Q70/L$17</f>
        <v>775.0568011</v>
      </c>
      <c r="T70" s="5">
        <f>L$9-S70</f>
        <v>426.9431989</v>
      </c>
    </row>
    <row r="71" ht="14.25" customHeight="1">
      <c r="B71" s="4" t="s">
        <v>104</v>
      </c>
      <c r="C71" s="5">
        <f>$C$26*M$21</f>
        <v>276095.52</v>
      </c>
      <c r="D71" s="8">
        <v>0.1264668810848401</v>
      </c>
      <c r="E71" s="8">
        <v>0.8622399455261938</v>
      </c>
      <c r="F71" s="8">
        <v>0.001575538942976356</v>
      </c>
      <c r="G71" s="5">
        <f t="shared" si="12"/>
        <v>34916.9393</v>
      </c>
      <c r="H71" s="5">
        <f t="shared" si="13"/>
        <v>238060.5861</v>
      </c>
      <c r="I71" s="5">
        <f t="shared" si="14"/>
        <v>434.9992437</v>
      </c>
      <c r="J71" s="5">
        <f>G71*M$14+H71*M$15+I71*M$16</f>
        <v>441271.2761</v>
      </c>
      <c r="K71" s="5">
        <f t="shared" si="15"/>
        <v>273412.5247</v>
      </c>
      <c r="L71" s="25">
        <v>67476.0</v>
      </c>
      <c r="M71" s="5">
        <f t="shared" si="16"/>
        <v>508747.2761</v>
      </c>
      <c r="N71" s="5">
        <f>MIN($C$30*M$11,$C$28*M$12*M$11,M$7)</f>
        <v>60762</v>
      </c>
      <c r="O71" s="5">
        <f>N71/Supuestos!$B$14*M$14</f>
        <v>61224.04438</v>
      </c>
      <c r="P71" s="5">
        <f>N71*M$16-O71</f>
        <v>56253.20643</v>
      </c>
      <c r="Q71" s="5">
        <f>283129*MIN(1,$C$30/3100)</f>
        <v>283129</v>
      </c>
      <c r="R71" s="5">
        <f t="shared" si="17"/>
        <v>339382.2064</v>
      </c>
      <c r="S71" s="5">
        <f>Q71/M$17</f>
        <v>775.0588557</v>
      </c>
      <c r="T71" s="5">
        <f>M$9-S71</f>
        <v>535.9411443</v>
      </c>
    </row>
    <row r="72" ht="14.25" customHeight="1">
      <c r="B72" s="3" t="s">
        <v>105</v>
      </c>
      <c r="C72" s="10">
        <f>SUM(C60:C71)</f>
        <v>3024766.864</v>
      </c>
      <c r="G72" s="10">
        <f t="shared" ref="G72:K72" si="18">SUM(G60:G71)</f>
        <v>413746.9738</v>
      </c>
      <c r="H72" s="10">
        <f t="shared" si="18"/>
        <v>2534952.847</v>
      </c>
      <c r="I72" s="10">
        <f t="shared" si="18"/>
        <v>15568.0058</v>
      </c>
      <c r="J72" s="10">
        <f t="shared" si="18"/>
        <v>5008523.424</v>
      </c>
      <c r="K72" s="10">
        <f t="shared" si="18"/>
        <v>2964267.827</v>
      </c>
      <c r="M72" s="10">
        <f t="shared" ref="M72:R72" si="19">SUM(M60:M71)</f>
        <v>5639214.424</v>
      </c>
      <c r="N72" s="10">
        <f t="shared" si="19"/>
        <v>759293.7972</v>
      </c>
      <c r="O72" s="10">
        <f t="shared" si="19"/>
        <v>797119.9664</v>
      </c>
      <c r="P72" s="10">
        <f t="shared" si="19"/>
        <v>739443.497</v>
      </c>
      <c r="Q72" s="10">
        <f t="shared" si="19"/>
        <v>4276904</v>
      </c>
      <c r="R72" s="10">
        <f t="shared" si="19"/>
        <v>5016347.497</v>
      </c>
      <c r="S72" s="5">
        <f t="shared" ref="S72:T72" si="20">AVERAGE(S60:S71)</f>
        <v>914.1022283</v>
      </c>
      <c r="T72" s="5">
        <f t="shared" si="20"/>
        <v>232.3144384</v>
      </c>
    </row>
    <row r="73" ht="14.25" customHeight="1">
      <c r="A73" s="29" t="s">
        <v>181</v>
      </c>
    </row>
    <row r="74" ht="14.25" customHeight="1"/>
    <row r="75" ht="14.25" customHeight="1">
      <c r="A75" s="1" t="s">
        <v>182</v>
      </c>
    </row>
    <row r="76" ht="14.25" customHeight="1">
      <c r="B76" s="2" t="s">
        <v>92</v>
      </c>
      <c r="C76" s="2" t="s">
        <v>163</v>
      </c>
      <c r="D76" s="2" t="s">
        <v>164</v>
      </c>
      <c r="E76" s="2" t="s">
        <v>165</v>
      </c>
      <c r="F76" s="2" t="s">
        <v>166</v>
      </c>
      <c r="G76" s="2" t="s">
        <v>167</v>
      </c>
      <c r="H76" s="2" t="s">
        <v>168</v>
      </c>
      <c r="I76" s="2" t="s">
        <v>169</v>
      </c>
      <c r="J76" s="2" t="s">
        <v>170</v>
      </c>
      <c r="K76" s="2" t="s">
        <v>171</v>
      </c>
      <c r="L76" s="2" t="s">
        <v>172</v>
      </c>
      <c r="M76" s="2" t="s">
        <v>173</v>
      </c>
      <c r="N76" s="2" t="s">
        <v>174</v>
      </c>
      <c r="O76" s="2" t="s">
        <v>175</v>
      </c>
      <c r="P76" s="2" t="s">
        <v>176</v>
      </c>
      <c r="Q76" s="2" t="s">
        <v>177</v>
      </c>
      <c r="R76" s="2" t="s">
        <v>178</v>
      </c>
      <c r="S76" s="3" t="s">
        <v>179</v>
      </c>
      <c r="T76" s="3" t="s">
        <v>180</v>
      </c>
    </row>
    <row r="77" ht="14.25" customHeight="1">
      <c r="B77" s="4" t="s">
        <v>93</v>
      </c>
      <c r="C77" s="5">
        <f>$D$26*B$21</f>
        <v>139691.1956</v>
      </c>
      <c r="D77" s="8">
        <v>0.1290347982332434</v>
      </c>
      <c r="E77" s="8">
        <v>0.8709723604240789</v>
      </c>
      <c r="F77" s="8">
        <v>0.0</v>
      </c>
      <c r="G77" s="5">
        <f t="shared" ref="G77:G88" si="21">C77*D77</f>
        <v>18025.02524</v>
      </c>
      <c r="H77" s="5">
        <f t="shared" ref="H77:H88" si="22">C77*E77</f>
        <v>121667.1704</v>
      </c>
      <c r="I77" s="5">
        <f t="shared" ref="I77:I88" si="23">C77*F77</f>
        <v>0</v>
      </c>
      <c r="J77" s="5">
        <f>G77*B$14+H77*B$15+I77*B$16</f>
        <v>240085.1917</v>
      </c>
      <c r="K77" s="5">
        <f t="shared" ref="K77:K88" si="24">G77+H77+I77</f>
        <v>139692.1956</v>
      </c>
      <c r="L77" s="25">
        <v>16370.0</v>
      </c>
      <c r="M77" s="5">
        <f t="shared" ref="M77:M88" si="25">J77+L77*$D$26/839.45</f>
        <v>256455.1917</v>
      </c>
      <c r="N77" s="5">
        <f>MIN($D$30*B$11,$D$28*B$12*B$11,B$7)</f>
        <v>49413</v>
      </c>
      <c r="O77" s="5">
        <f>N77/Supuestos!$B$14*B$14</f>
        <v>52738.08313</v>
      </c>
      <c r="P77" s="5">
        <f>N77*B$16-O77</f>
        <v>49240.46628</v>
      </c>
      <c r="Q77" s="5">
        <f>441224*MIN(1,$D$30/3100)</f>
        <v>441224</v>
      </c>
      <c r="R77" s="5">
        <f t="shared" ref="R77:R88" si="26">P77+Q77</f>
        <v>490464.4663</v>
      </c>
      <c r="S77" s="5">
        <f>Q77/B$17</f>
        <v>1123.021711</v>
      </c>
      <c r="T77" s="5">
        <f>B$9-S77</f>
        <v>-0.02171091145</v>
      </c>
    </row>
    <row r="78" ht="14.25" customHeight="1">
      <c r="B78" s="4" t="s">
        <v>94</v>
      </c>
      <c r="C78" s="5">
        <f>$D$26*C$21</f>
        <v>123298.416</v>
      </c>
      <c r="D78" s="8">
        <v>0.1666693701438791</v>
      </c>
      <c r="E78" s="8">
        <v>0.8333387402877581</v>
      </c>
      <c r="F78" s="8">
        <v>0.0</v>
      </c>
      <c r="G78" s="5">
        <f t="shared" si="21"/>
        <v>20550.06933</v>
      </c>
      <c r="H78" s="5">
        <f t="shared" si="22"/>
        <v>102749.3467</v>
      </c>
      <c r="I78" s="5">
        <f t="shared" si="23"/>
        <v>0</v>
      </c>
      <c r="J78" s="5">
        <f>G78*C$14+H78*C$15+I78*C$16</f>
        <v>212596.8271</v>
      </c>
      <c r="K78" s="5">
        <f t="shared" si="24"/>
        <v>123299.416</v>
      </c>
      <c r="L78" s="25">
        <v>14931.0</v>
      </c>
      <c r="M78" s="5">
        <f t="shared" si="25"/>
        <v>227527.8271</v>
      </c>
      <c r="N78" s="5">
        <f>MIN($D$30*C$11,$D$28*C$12*C$11,C$7)</f>
        <v>42282</v>
      </c>
      <c r="O78" s="5">
        <f>N78/Supuestos!$B$14*C$14</f>
        <v>45999.2925</v>
      </c>
      <c r="P78" s="5">
        <f>N78*C$16-O78</f>
        <v>43139.6199</v>
      </c>
      <c r="Q78" s="5">
        <f>404931*MIN(1,$D$30/3100)</f>
        <v>404931</v>
      </c>
      <c r="R78" s="5">
        <f t="shared" si="26"/>
        <v>448070.6199</v>
      </c>
      <c r="S78" s="5">
        <f>Q78/C$17</f>
        <v>1006.715064</v>
      </c>
      <c r="T78" s="5">
        <f>C$9-S78</f>
        <v>0.2849364791</v>
      </c>
    </row>
    <row r="79" ht="14.25" customHeight="1">
      <c r="B79" s="4" t="s">
        <v>95</v>
      </c>
      <c r="C79" s="5">
        <f>$D$26*D$21</f>
        <v>131780.2188</v>
      </c>
      <c r="D79" s="8">
        <v>0.1290332372135377</v>
      </c>
      <c r="E79" s="8">
        <v>0.8709667627864622</v>
      </c>
      <c r="F79" s="8">
        <v>0.0</v>
      </c>
      <c r="G79" s="5">
        <f t="shared" si="21"/>
        <v>17004.02823</v>
      </c>
      <c r="H79" s="5">
        <f t="shared" si="22"/>
        <v>114776.1906</v>
      </c>
      <c r="I79" s="5">
        <f t="shared" si="23"/>
        <v>0</v>
      </c>
      <c r="J79" s="5">
        <f>G79*D$14+H79*D$15+I79*D$16</f>
        <v>234351.0327</v>
      </c>
      <c r="K79" s="5">
        <f t="shared" si="24"/>
        <v>131780.2188</v>
      </c>
      <c r="L79" s="25">
        <v>40467.0</v>
      </c>
      <c r="M79" s="5">
        <f t="shared" si="25"/>
        <v>274818.0327</v>
      </c>
      <c r="N79" s="5">
        <f>MIN($D$30*D$11,$D$28*D$12*D$11,D$7)</f>
        <v>56718</v>
      </c>
      <c r="O79" s="5">
        <f>N79/Supuestos!$B$14*D$14</f>
        <v>62454.78938</v>
      </c>
      <c r="P79" s="5">
        <f>N79*D$16-O79</f>
        <v>58745.90483</v>
      </c>
      <c r="Q79" s="5">
        <f>503385*MIN(1,$D$30/3100)</f>
        <v>503385</v>
      </c>
      <c r="R79" s="5">
        <f t="shared" si="26"/>
        <v>562130.9048</v>
      </c>
      <c r="S79" s="5">
        <f>Q79/D$17</f>
        <v>1233.001029</v>
      </c>
      <c r="T79" s="5">
        <f>D$9-S79</f>
        <v>-0.001028756185</v>
      </c>
    </row>
    <row r="80" ht="14.25" customHeight="1">
      <c r="B80" s="4" t="s">
        <v>96</v>
      </c>
      <c r="C80" s="5">
        <f>$D$26*E$21</f>
        <v>120538.3044</v>
      </c>
      <c r="D80" s="8">
        <v>0.1612935339892814</v>
      </c>
      <c r="E80" s="8">
        <v>0.8387147621496955</v>
      </c>
      <c r="F80" s="8">
        <v>0.0</v>
      </c>
      <c r="G80" s="5">
        <f t="shared" si="21"/>
        <v>19442.0491</v>
      </c>
      <c r="H80" s="5">
        <f t="shared" si="22"/>
        <v>101097.2553</v>
      </c>
      <c r="I80" s="5">
        <f t="shared" si="23"/>
        <v>0</v>
      </c>
      <c r="J80" s="5">
        <f>G80*E$14+H80*E$15+I80*E$16</f>
        <v>211396.5899</v>
      </c>
      <c r="K80" s="5">
        <f t="shared" si="24"/>
        <v>120539.3044</v>
      </c>
      <c r="L80" s="25">
        <v>14126.0</v>
      </c>
      <c r="M80" s="5">
        <f t="shared" si="25"/>
        <v>225522.5899</v>
      </c>
      <c r="N80" s="5">
        <f>MIN($D$30*E$11,$D$28*E$12*E$11,E$7)</f>
        <v>44577</v>
      </c>
      <c r="O80" s="5">
        <f>N80/Supuestos!$B$14*E$14</f>
        <v>49141.49906</v>
      </c>
      <c r="P80" s="5">
        <f>N80*E$16-O80</f>
        <v>46235.45014</v>
      </c>
      <c r="Q80" s="5">
        <f>433915*MIN(1,$D$30/3100)</f>
        <v>433915</v>
      </c>
      <c r="R80" s="5">
        <f t="shared" si="26"/>
        <v>480150.4501</v>
      </c>
      <c r="S80" s="5">
        <f>Q80/E$17</f>
        <v>1061.358022</v>
      </c>
      <c r="T80" s="5">
        <f>E$9-S80</f>
        <v>-0.3580216716</v>
      </c>
    </row>
    <row r="81" ht="14.25" customHeight="1">
      <c r="B81" s="4" t="s">
        <v>97</v>
      </c>
      <c r="C81" s="5">
        <f>$D$26*F$21</f>
        <v>108994.188</v>
      </c>
      <c r="D81" s="8">
        <v>0.1333376149145825</v>
      </c>
      <c r="E81" s="8">
        <v>0.86667155990238</v>
      </c>
      <c r="F81" s="8">
        <v>0.0</v>
      </c>
      <c r="G81" s="5">
        <f t="shared" si="21"/>
        <v>14533.02507</v>
      </c>
      <c r="H81" s="5">
        <f t="shared" si="22"/>
        <v>94462.16293</v>
      </c>
      <c r="I81" s="5">
        <f t="shared" si="23"/>
        <v>0</v>
      </c>
      <c r="J81" s="5">
        <f>G81*F$14+H81*F$15+I81*F$16</f>
        <v>192545.5388</v>
      </c>
      <c r="K81" s="5">
        <f t="shared" si="24"/>
        <v>108995.188</v>
      </c>
      <c r="L81" s="25">
        <v>43548.0</v>
      </c>
      <c r="M81" s="5">
        <f t="shared" si="25"/>
        <v>236093.5388</v>
      </c>
      <c r="N81" s="5">
        <f>MIN($D$30*F$11,$D$28*F$12*F$11,F$7)</f>
        <v>49268</v>
      </c>
      <c r="O81" s="5">
        <f>N81/Supuestos!$B$14*F$14</f>
        <v>54117.81875</v>
      </c>
      <c r="P81" s="5">
        <f>N81*F$16-O81</f>
        <v>50621.02245</v>
      </c>
      <c r="Q81" s="5">
        <f>453590*MIN(1,$D$30/3100)</f>
        <v>453590</v>
      </c>
      <c r="R81" s="5">
        <f t="shared" si="26"/>
        <v>504211.0225</v>
      </c>
      <c r="S81" s="5">
        <f>Q81/F$17</f>
        <v>1119.726481</v>
      </c>
      <c r="T81" s="5">
        <f>F$9-S81</f>
        <v>0.2735194648</v>
      </c>
    </row>
    <row r="82" ht="14.25" customHeight="1">
      <c r="B82" s="4" t="s">
        <v>98</v>
      </c>
      <c r="C82" s="5">
        <f>$D$26*G$21</f>
        <v>128241.0976</v>
      </c>
      <c r="D82" s="8">
        <v>0.1285236390857838</v>
      </c>
      <c r="E82" s="8">
        <v>0.868934272190641</v>
      </c>
      <c r="F82" s="8">
        <v>0.002542088723575144</v>
      </c>
      <c r="G82" s="5">
        <f t="shared" si="21"/>
        <v>16482.01254</v>
      </c>
      <c r="H82" s="5">
        <f t="shared" si="22"/>
        <v>111433.0848</v>
      </c>
      <c r="I82" s="5">
        <f t="shared" si="23"/>
        <v>326.0002481</v>
      </c>
      <c r="J82" s="5">
        <f>G82*G$14+H82*G$15+I82*G$16</f>
        <v>227132.9366</v>
      </c>
      <c r="K82" s="5">
        <f t="shared" si="24"/>
        <v>128241.0976</v>
      </c>
      <c r="L82" s="25">
        <v>48106.0</v>
      </c>
      <c r="M82" s="5">
        <f t="shared" si="25"/>
        <v>275238.9366</v>
      </c>
      <c r="N82" s="5">
        <f>MIN($D$30*G$11,$D$28*G$12*G$11,G$7)</f>
        <v>56344</v>
      </c>
      <c r="O82" s="5">
        <f>N82/Supuestos!$B$14*G$14</f>
        <v>61890.3625</v>
      </c>
      <c r="P82" s="5">
        <f>N82*G$16-O82</f>
        <v>57891.3471</v>
      </c>
      <c r="Q82" s="5">
        <f>313968*MIN(1,$D$30/3100)</f>
        <v>313968</v>
      </c>
      <c r="R82" s="5">
        <f t="shared" si="26"/>
        <v>371859.3471</v>
      </c>
      <c r="S82" s="5">
        <f>Q82/G$17</f>
        <v>775.0573947</v>
      </c>
      <c r="T82" s="5">
        <f>G$9-S82</f>
        <v>348.9426053</v>
      </c>
    </row>
    <row r="83" ht="14.25" customHeight="1">
      <c r="B83" s="4" t="s">
        <v>99</v>
      </c>
      <c r="C83" s="5">
        <f>$D$26*H$21</f>
        <v>129543.924</v>
      </c>
      <c r="D83" s="8">
        <v>0.1692552337429754</v>
      </c>
      <c r="E83" s="8">
        <v>0.8202309639967887</v>
      </c>
      <c r="F83" s="8">
        <v>0.0105138022602359</v>
      </c>
      <c r="G83" s="5">
        <f t="shared" si="21"/>
        <v>21925.98714</v>
      </c>
      <c r="H83" s="5">
        <f t="shared" si="22"/>
        <v>106255.9377</v>
      </c>
      <c r="I83" s="5">
        <f t="shared" si="23"/>
        <v>1361.999201</v>
      </c>
      <c r="J83" s="5">
        <f>G83*H$14+H83*H$15+I83*H$16</f>
        <v>219365.5353</v>
      </c>
      <c r="K83" s="5">
        <f t="shared" si="24"/>
        <v>129543.924</v>
      </c>
      <c r="L83" s="25">
        <v>31126.0</v>
      </c>
      <c r="M83" s="5">
        <f t="shared" si="25"/>
        <v>250491.5353</v>
      </c>
      <c r="N83" s="5">
        <f>MIN($D$30*H$11,$D$28*H$12*H$11,H$7)</f>
        <v>77505.77465</v>
      </c>
      <c r="O83" s="5">
        <f>N83/Supuestos!$B$14*H$14</f>
        <v>83060.35516</v>
      </c>
      <c r="P83" s="5">
        <f>N83*H$16-O83</f>
        <v>77221.5868</v>
      </c>
      <c r="Q83" s="5">
        <f>304543*MIN(1,$D$30/3100)</f>
        <v>304543</v>
      </c>
      <c r="R83" s="5">
        <f t="shared" si="26"/>
        <v>381764.5868</v>
      </c>
      <c r="S83" s="5">
        <f>Q83/H$17</f>
        <v>775.0566259</v>
      </c>
      <c r="T83" s="5">
        <f>H$9-S83</f>
        <v>285.9433741</v>
      </c>
    </row>
    <row r="84" ht="14.25" customHeight="1">
      <c r="B84" s="4" t="s">
        <v>100</v>
      </c>
      <c r="C84" s="5">
        <f>$D$26*I$21</f>
        <v>128657.4648</v>
      </c>
      <c r="D84" s="8">
        <v>0.1310383422588744</v>
      </c>
      <c r="E84" s="8">
        <v>0.8572638877014076</v>
      </c>
      <c r="F84" s="8">
        <v>0.01169777003971801</v>
      </c>
      <c r="G84" s="5">
        <f t="shared" si="21"/>
        <v>16859.06091</v>
      </c>
      <c r="H84" s="5">
        <f t="shared" si="22"/>
        <v>110293.3985</v>
      </c>
      <c r="I84" s="5">
        <f t="shared" si="23"/>
        <v>1505.005437</v>
      </c>
      <c r="J84" s="5">
        <f>G84*I$14+H84*I$15+I84*I$16</f>
        <v>211999.6731</v>
      </c>
      <c r="K84" s="5">
        <f t="shared" si="24"/>
        <v>128657.4648</v>
      </c>
      <c r="L84" s="25">
        <v>29915.0</v>
      </c>
      <c r="M84" s="5">
        <f t="shared" si="25"/>
        <v>241914.6731</v>
      </c>
      <c r="N84" s="5">
        <f>MIN($D$30*I$11,$D$28*I$12*I$11,I$7)</f>
        <v>83706.23662</v>
      </c>
      <c r="O84" s="5">
        <f>N84/Supuestos!$B$14*I$14</f>
        <v>86077.91332</v>
      </c>
      <c r="P84" s="5">
        <f>N84*I$16-O84</f>
        <v>79200.05088</v>
      </c>
      <c r="Q84" s="5">
        <f>289313*MIN(1,$D$30/3100)</f>
        <v>289313</v>
      </c>
      <c r="R84" s="5">
        <f t="shared" si="26"/>
        <v>368513.0509</v>
      </c>
      <c r="S84" s="5">
        <f>Q84/I$17</f>
        <v>775.056258</v>
      </c>
      <c r="T84" s="5">
        <f>I$9-S84</f>
        <v>506.943742</v>
      </c>
    </row>
    <row r="85" ht="14.25" customHeight="1">
      <c r="B85" s="4" t="s">
        <v>101</v>
      </c>
      <c r="C85" s="5">
        <f>$D$26*J$21</f>
        <v>134070.2384</v>
      </c>
      <c r="D85" s="8">
        <v>0.1320429626314612</v>
      </c>
      <c r="E85" s="8">
        <v>0.8567613933020064</v>
      </c>
      <c r="F85" s="8">
        <v>0.01119564406653241</v>
      </c>
      <c r="G85" s="5">
        <f t="shared" si="21"/>
        <v>17703.03148</v>
      </c>
      <c r="H85" s="5">
        <f t="shared" si="22"/>
        <v>114866.2043</v>
      </c>
      <c r="I85" s="5">
        <f t="shared" si="23"/>
        <v>1501.002669</v>
      </c>
      <c r="J85" s="5">
        <f>G85*J$14+H85*J$15+I85*J$16</f>
        <v>216014.9371</v>
      </c>
      <c r="K85" s="5">
        <f t="shared" si="24"/>
        <v>134070.2384</v>
      </c>
      <c r="L85" s="25">
        <v>56973.0</v>
      </c>
      <c r="M85" s="5">
        <f t="shared" si="25"/>
        <v>272987.9371</v>
      </c>
      <c r="N85" s="5">
        <f>MIN($D$30*J$11,$D$28*J$12*J$11,J$7)</f>
        <v>83706.23662</v>
      </c>
      <c r="O85" s="5">
        <f>N85/Supuestos!$B$14*J$14</f>
        <v>84264.27819</v>
      </c>
      <c r="P85" s="5">
        <f>N85*J$16-O85</f>
        <v>77405.94721</v>
      </c>
      <c r="Q85" s="5">
        <f>282804*MIN(1,$D$30/3100)</f>
        <v>282804</v>
      </c>
      <c r="R85" s="5">
        <f t="shared" si="26"/>
        <v>360209.9472</v>
      </c>
      <c r="S85" s="5">
        <f>Q85/J$17</f>
        <v>775.0602938</v>
      </c>
      <c r="T85" s="5">
        <f>J$9-S85</f>
        <v>365.9397062</v>
      </c>
    </row>
    <row r="86" ht="14.25" customHeight="1">
      <c r="B86" s="4" t="s">
        <v>102</v>
      </c>
      <c r="C86" s="5">
        <f>$D$26*K$21</f>
        <v>126360.7296</v>
      </c>
      <c r="D86" s="8">
        <v>0.1450764080689453</v>
      </c>
      <c r="E86" s="8">
        <v>0.8436622059021375</v>
      </c>
      <c r="F86" s="8">
        <v>0.01126138602891715</v>
      </c>
      <c r="G86" s="5">
        <f t="shared" si="21"/>
        <v>18331.96077</v>
      </c>
      <c r="H86" s="5">
        <f t="shared" si="22"/>
        <v>106605.7719</v>
      </c>
      <c r="I86" s="5">
        <f t="shared" si="23"/>
        <v>1422.996955</v>
      </c>
      <c r="J86" s="5">
        <f>G86*K$14+H86*K$15+I86*K$16</f>
        <v>202481.3156</v>
      </c>
      <c r="K86" s="5">
        <f t="shared" si="24"/>
        <v>126360.7296</v>
      </c>
      <c r="L86" s="25">
        <v>58701.0</v>
      </c>
      <c r="M86" s="5">
        <f t="shared" si="25"/>
        <v>261182.3156</v>
      </c>
      <c r="N86" s="5">
        <f>MIN($D$30*K$11,$D$28*K$12*K$11,K$7)</f>
        <v>74405.54366</v>
      </c>
      <c r="O86" s="5">
        <f>N86/Supuestos!$B$14*K$14</f>
        <v>74932.58293</v>
      </c>
      <c r="P86" s="5">
        <f>N86*K$16-O86</f>
        <v>68856.13019</v>
      </c>
      <c r="Q86" s="5">
        <f>282966*MIN(1,$D$30/3100)</f>
        <v>282966</v>
      </c>
      <c r="R86" s="5">
        <f t="shared" si="26"/>
        <v>351822.1302</v>
      </c>
      <c r="S86" s="5">
        <f>Q86/K$17</f>
        <v>775.0582048</v>
      </c>
      <c r="T86" s="5">
        <f>K$9-S86</f>
        <v>316.9417952</v>
      </c>
    </row>
    <row r="87" ht="14.25" customHeight="1">
      <c r="B87" s="4" t="s">
        <v>103</v>
      </c>
      <c r="C87" s="5">
        <f>$D$26*L$21</f>
        <v>154888.5984</v>
      </c>
      <c r="D87" s="8">
        <v>0.1627810883923326</v>
      </c>
      <c r="E87" s="8">
        <v>0.8260237976873761</v>
      </c>
      <c r="F87" s="8">
        <v>0.0111951139202913</v>
      </c>
      <c r="G87" s="5">
        <f t="shared" si="21"/>
        <v>25212.93463</v>
      </c>
      <c r="H87" s="5">
        <f t="shared" si="22"/>
        <v>127941.6683</v>
      </c>
      <c r="I87" s="5">
        <f t="shared" si="23"/>
        <v>1733.995504</v>
      </c>
      <c r="J87" s="5">
        <f>G87*L$14+H87*L$15+I87*L$16</f>
        <v>246291.1097</v>
      </c>
      <c r="K87" s="5">
        <f t="shared" si="24"/>
        <v>154888.5984</v>
      </c>
      <c r="L87" s="25">
        <v>50659.0</v>
      </c>
      <c r="M87" s="5">
        <f t="shared" si="25"/>
        <v>296950.1097</v>
      </c>
      <c r="N87" s="5">
        <f>MIN($D$30*L$11,$D$28*L$12*L$11,L$7)</f>
        <v>80606.00563</v>
      </c>
      <c r="O87" s="5">
        <f>N87/Supuestos!$B$14*L$14</f>
        <v>81218.94713</v>
      </c>
      <c r="P87" s="5">
        <f>N87*L$16-O87</f>
        <v>74632.76476</v>
      </c>
      <c r="Q87" s="5">
        <f>283136*MIN(1,$D$30/3100)</f>
        <v>283136</v>
      </c>
      <c r="R87" s="5">
        <f t="shared" si="26"/>
        <v>357768.7648</v>
      </c>
      <c r="S87" s="5">
        <f>Q87/L$17</f>
        <v>775.0568011</v>
      </c>
      <c r="T87" s="5">
        <f>L$9-S87</f>
        <v>426.9431989</v>
      </c>
    </row>
    <row r="88" ht="14.25" customHeight="1">
      <c r="B88" s="4" t="s">
        <v>104</v>
      </c>
      <c r="C88" s="5">
        <f>$D$26*M$21</f>
        <v>143243.748</v>
      </c>
      <c r="D88" s="8">
        <v>0.1343791013934266</v>
      </c>
      <c r="E88" s="8">
        <v>0.864043171092681</v>
      </c>
      <c r="F88" s="8">
        <v>0.00157772751389238</v>
      </c>
      <c r="G88" s="5">
        <f t="shared" si="21"/>
        <v>19248.96614</v>
      </c>
      <c r="H88" s="5">
        <f t="shared" si="22"/>
        <v>123768.7823</v>
      </c>
      <c r="I88" s="5">
        <f t="shared" si="23"/>
        <v>225.9996024</v>
      </c>
      <c r="J88" s="5">
        <f>G88*M$14+H88*M$15+I88*M$16</f>
        <v>230478.3064</v>
      </c>
      <c r="K88" s="5">
        <f t="shared" si="24"/>
        <v>143243.748</v>
      </c>
      <c r="L88" s="25">
        <v>55118.0</v>
      </c>
      <c r="M88" s="5">
        <f t="shared" si="25"/>
        <v>285596.3064</v>
      </c>
      <c r="N88" s="5">
        <f>MIN($D$30*M$11,$D$28*M$12*M$11,M$7)</f>
        <v>60762</v>
      </c>
      <c r="O88" s="5">
        <f>N88/Supuestos!$B$14*M$14</f>
        <v>61224.04438</v>
      </c>
      <c r="P88" s="5">
        <f>N88*M$16-O88</f>
        <v>56253.20643</v>
      </c>
      <c r="Q88" s="5">
        <f>283129*MIN(1,$D$30/3100)</f>
        <v>283129</v>
      </c>
      <c r="R88" s="5">
        <f t="shared" si="26"/>
        <v>339382.2064</v>
      </c>
      <c r="S88" s="5">
        <f>Q88/M$17</f>
        <v>775.0588557</v>
      </c>
      <c r="T88" s="5">
        <f>M$9-S88</f>
        <v>535.9411443</v>
      </c>
    </row>
    <row r="89" ht="14.25" customHeight="1">
      <c r="B89" s="3" t="s">
        <v>105</v>
      </c>
      <c r="C89" s="10">
        <f>SUM(C77:C88)</f>
        <v>1569308.124</v>
      </c>
      <c r="G89" s="10">
        <f t="shared" ref="G89:K89" si="27">SUM(G77:G88)</f>
        <v>225318.1506</v>
      </c>
      <c r="H89" s="10">
        <f t="shared" si="27"/>
        <v>1335916.973</v>
      </c>
      <c r="I89" s="10">
        <f t="shared" si="27"/>
        <v>8076.999617</v>
      </c>
      <c r="J89" s="10">
        <f t="shared" si="27"/>
        <v>2644738.994</v>
      </c>
      <c r="K89" s="10">
        <f t="shared" si="27"/>
        <v>1569312.124</v>
      </c>
      <c r="M89" s="10">
        <f t="shared" ref="M89:R89" si="28">SUM(M77:M88)</f>
        <v>3104778.994</v>
      </c>
      <c r="N89" s="10">
        <f t="shared" si="28"/>
        <v>759293.7972</v>
      </c>
      <c r="O89" s="10">
        <f t="shared" si="28"/>
        <v>797119.9664</v>
      </c>
      <c r="P89" s="10">
        <f t="shared" si="28"/>
        <v>739443.497</v>
      </c>
      <c r="Q89" s="10">
        <f t="shared" si="28"/>
        <v>4276904</v>
      </c>
      <c r="R89" s="10">
        <f t="shared" si="28"/>
        <v>5016347.497</v>
      </c>
      <c r="S89" s="5">
        <f t="shared" ref="S89:T89" si="29">AVERAGE(S77:S88)</f>
        <v>914.1022283</v>
      </c>
      <c r="T89" s="5">
        <f t="shared" si="29"/>
        <v>232.3144384</v>
      </c>
    </row>
    <row r="90" ht="14.25" customHeight="1"/>
    <row r="91" ht="14.25" customHeight="1"/>
    <row r="92" ht="14.25" customHeight="1">
      <c r="A92" s="1" t="s">
        <v>183</v>
      </c>
    </row>
    <row r="93" ht="14.25" customHeight="1">
      <c r="B93" s="2" t="s">
        <v>184</v>
      </c>
      <c r="C93" s="2" t="s">
        <v>185</v>
      </c>
      <c r="D93" s="2" t="s">
        <v>186</v>
      </c>
      <c r="E93" s="2" t="s">
        <v>187</v>
      </c>
      <c r="F93" s="2" t="s">
        <v>188</v>
      </c>
      <c r="G93" s="2" t="s">
        <v>189</v>
      </c>
      <c r="H93" s="2" t="s">
        <v>190</v>
      </c>
      <c r="I93" s="2" t="s">
        <v>191</v>
      </c>
      <c r="J93" s="2" t="s">
        <v>192</v>
      </c>
      <c r="K93" s="2" t="s">
        <v>193</v>
      </c>
      <c r="L93" s="2" t="s">
        <v>194</v>
      </c>
      <c r="M93" s="2" t="s">
        <v>195</v>
      </c>
      <c r="N93" s="2" t="s">
        <v>196</v>
      </c>
      <c r="O93" s="2" t="s">
        <v>197</v>
      </c>
      <c r="P93" s="2" t="s">
        <v>198</v>
      </c>
    </row>
    <row r="94" ht="14.25" customHeight="1">
      <c r="B94" s="4" t="s">
        <v>199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5">
        <f>-$C$34</f>
        <v>-18457335</v>
      </c>
      <c r="N94" s="5">
        <f>-$C$36</f>
        <v>-16196544</v>
      </c>
      <c r="O94" s="5">
        <f t="shared" ref="O94:P94" si="30">M94</f>
        <v>-18457335</v>
      </c>
      <c r="P94" s="5">
        <f t="shared" si="30"/>
        <v>-16196544</v>
      </c>
    </row>
    <row r="95" ht="14.25" customHeight="1">
      <c r="B95" s="19">
        <f>Supuestos!$B$25+1-1</f>
        <v>2026</v>
      </c>
      <c r="C95" s="5">
        <f>$C$39*(1+Supuestos!$B$9)^(1-1)</f>
        <v>27061919</v>
      </c>
      <c r="D95" s="5">
        <f>IF(B95&lt;=Supuestos!$B$26,$C$38*(1+Supuestos!$B$9)^(1-1),0)</f>
        <v>0</v>
      </c>
      <c r="E95" s="5">
        <f t="shared" ref="E95:E114" si="32">C95-D95</f>
        <v>27061919</v>
      </c>
      <c r="F95" s="5">
        <f>$C$43*(1+Supuestos!$B$9)^(1-1)*(1-Supuestos!$B$11)^(1-1)</f>
        <v>5639214.424</v>
      </c>
      <c r="G95" s="5">
        <f>$C$44*(1+Supuestos!$B$9)^(1-1)*(1-Supuestos!$B$12)^(1-1)</f>
        <v>4180289.581</v>
      </c>
      <c r="H95" s="5">
        <f>IF(1&lt;=Supuestos!$B$18,$C$42*$C$31*(1+Supuestos!$B$10)^(1-1)*(1-Supuestos!$B$11)^(1-1),0)</f>
        <v>2967232.095</v>
      </c>
      <c r="I95" s="5">
        <f>IF(1&lt;=Supuestos!$B$19,G95*$C$32,0)</f>
        <v>2090144.79</v>
      </c>
      <c r="J95" s="10">
        <f t="shared" ref="J95:J114" si="33">F95+G95-H95-I95</f>
        <v>4762127.119</v>
      </c>
      <c r="K95" s="5">
        <f t="shared" ref="K95:K114" si="34">K94+J95</f>
        <v>4762127.119</v>
      </c>
      <c r="L95" s="8">
        <f t="shared" ref="L95:L114" si="35">IF(E95&gt;0,J95/E95,0)</f>
        <v>0.1759715237</v>
      </c>
      <c r="M95" s="5">
        <f>IF(1&lt;=Supuestos!$B$18,H95-Supuestos!$B$22*$C$26*(1+Supuestos!$B$9)^(1-1),0)</f>
        <v>2465652.095</v>
      </c>
      <c r="N95" s="5">
        <f>IF(1&lt;=Supuestos!$B$19,I95-Supuestos!$B$23*$C$29*(1+Supuestos!$B$9)^(1-1),0)</f>
        <v>1496864.79</v>
      </c>
      <c r="O95" s="5">
        <f t="shared" ref="O95:P95" si="31">O94+M95</f>
        <v>-15991682.91</v>
      </c>
      <c r="P95" s="5">
        <f t="shared" si="31"/>
        <v>-14699679.21</v>
      </c>
    </row>
    <row r="96" ht="14.25" customHeight="1">
      <c r="B96" s="19">
        <f>Supuestos!$B$25+2-1</f>
        <v>2027</v>
      </c>
      <c r="C96" s="5">
        <f>$C$39*(1+Supuestos!$B$9)^(2-1)</f>
        <v>28415014.95</v>
      </c>
      <c r="D96" s="5">
        <f>IF(B96&lt;=Supuestos!$B$26,$C$38*(1+Supuestos!$B$9)^(2-1),0)</f>
        <v>0</v>
      </c>
      <c r="E96" s="5">
        <f t="shared" si="32"/>
        <v>28415014.95</v>
      </c>
      <c r="F96" s="5">
        <f>$C$43*(1+Supuestos!$B$9)^(2-1)*(1-Supuestos!$B$11)^(2-1)</f>
        <v>5891569.269</v>
      </c>
      <c r="G96" s="5">
        <f>$C$44*(1+Supuestos!$B$9)^(2-1)*(1-Supuestos!$B$12)^(2-1)</f>
        <v>4334437.759</v>
      </c>
      <c r="H96" s="5">
        <f>IF(2&lt;=Supuestos!$B$18,$C$42*$C$31*(1+Supuestos!$B$10)^(2-1)*(1-Supuestos!$B$11)^(2-1),0)</f>
        <v>3100015.731</v>
      </c>
      <c r="I96" s="5">
        <f>IF(2&lt;=Supuestos!$B$19,G96*$C$32,0)</f>
        <v>2167218.88</v>
      </c>
      <c r="J96" s="10">
        <f t="shared" si="33"/>
        <v>4958772.418</v>
      </c>
      <c r="K96" s="5">
        <f t="shared" si="34"/>
        <v>9720899.537</v>
      </c>
      <c r="L96" s="8">
        <f t="shared" si="35"/>
        <v>0.1745123987</v>
      </c>
      <c r="M96" s="5">
        <f>IF(2&lt;=Supuestos!$B$18,H96-Supuestos!$B$22*$C$26*(1+Supuestos!$B$9)^(2-1),0)</f>
        <v>2573356.731</v>
      </c>
      <c r="N96" s="5">
        <f>IF(2&lt;=Supuestos!$B$19,I96-Supuestos!$B$23*$C$29*(1+Supuestos!$B$9)^(2-1),0)</f>
        <v>1544274.88</v>
      </c>
      <c r="O96" s="5">
        <f t="shared" ref="O96:P96" si="36">O95+M96</f>
        <v>-13418326.17</v>
      </c>
      <c r="P96" s="5">
        <f t="shared" si="36"/>
        <v>-13155404.33</v>
      </c>
    </row>
    <row r="97" ht="14.25" customHeight="1">
      <c r="B97" s="19">
        <f>Supuestos!$B$25+3-1</f>
        <v>2028</v>
      </c>
      <c r="C97" s="5">
        <f>$C$39*(1+Supuestos!$B$9)^(3-1)</f>
        <v>29835765.7</v>
      </c>
      <c r="D97" s="5">
        <f>IF(B97&lt;=Supuestos!$B$26,$C$38*(1+Supuestos!$B$9)^(3-1),0)</f>
        <v>0</v>
      </c>
      <c r="E97" s="5">
        <f t="shared" si="32"/>
        <v>29835765.7</v>
      </c>
      <c r="F97" s="5">
        <f>$C$43*(1+Supuestos!$B$9)^(3-1)*(1-Supuestos!$B$11)^(3-1)</f>
        <v>6155216.994</v>
      </c>
      <c r="G97" s="5">
        <f>$C$44*(1+Supuestos!$B$9)^(3-1)*(1-Supuestos!$B$12)^(3-1)</f>
        <v>4494270.151</v>
      </c>
      <c r="H97" s="5">
        <f>IF(3&lt;=Supuestos!$B$18,$C$42*$C$31*(1+Supuestos!$B$10)^(3-1)*(1-Supuestos!$B$11)^(3-1),0)</f>
        <v>3238741.435</v>
      </c>
      <c r="I97" s="5">
        <f>IF(3&lt;=Supuestos!$B$19,G97*$C$32,0)</f>
        <v>2247135.076</v>
      </c>
      <c r="J97" s="10">
        <f t="shared" si="33"/>
        <v>5163610.635</v>
      </c>
      <c r="K97" s="5">
        <f t="shared" si="34"/>
        <v>14884510.17</v>
      </c>
      <c r="L97" s="8">
        <f t="shared" si="35"/>
        <v>0.1730678102</v>
      </c>
      <c r="M97" s="5">
        <f>IF(3&lt;=Supuestos!$B$18,H97-Supuestos!$B$22*$C$26*(1+Supuestos!$B$9)^(3-1),0)</f>
        <v>2685749.485</v>
      </c>
      <c r="N97" s="5">
        <f>IF(3&lt;=Supuestos!$B$19,I97-Supuestos!$B$23*$C$29*(1+Supuestos!$B$9)^(3-1),0)</f>
        <v>1593043.876</v>
      </c>
      <c r="O97" s="5">
        <f t="shared" ref="O97:P97" si="37">O96+M97</f>
        <v>-10732576.69</v>
      </c>
      <c r="P97" s="5">
        <f t="shared" si="37"/>
        <v>-11562360.45</v>
      </c>
    </row>
    <row r="98" ht="14.25" customHeight="1">
      <c r="B98" s="19">
        <f>Supuestos!$B$25+4-1</f>
        <v>2029</v>
      </c>
      <c r="C98" s="5">
        <f>$C$39*(1+Supuestos!$B$9)^(4-1)</f>
        <v>31327553.98</v>
      </c>
      <c r="D98" s="5">
        <f>IF(B98&lt;=Supuestos!$B$26,$C$38*(1+Supuestos!$B$9)^(4-1),0)</f>
        <v>0</v>
      </c>
      <c r="E98" s="5">
        <f t="shared" si="32"/>
        <v>31327553.98</v>
      </c>
      <c r="F98" s="5">
        <f>$C$43*(1+Supuestos!$B$9)^(4-1)*(1-Supuestos!$B$11)^(4-1)</f>
        <v>6430662.954</v>
      </c>
      <c r="G98" s="5">
        <f>$C$44*(1+Supuestos!$B$9)^(4-1)*(1-Supuestos!$B$12)^(4-1)</f>
        <v>4659996.363</v>
      </c>
      <c r="H98" s="5">
        <f>IF(4&lt;=Supuestos!$B$18,$C$42*$C$31*(1+Supuestos!$B$10)^(4-1)*(1-Supuestos!$B$11)^(4-1),0)</f>
        <v>3383675.114</v>
      </c>
      <c r="I98" s="5">
        <f>IF(4&lt;=Supuestos!$B$19,G98*$C$32,0)</f>
        <v>2329998.182</v>
      </c>
      <c r="J98" s="10">
        <f t="shared" si="33"/>
        <v>5376986.022</v>
      </c>
      <c r="K98" s="5">
        <f t="shared" si="34"/>
        <v>20261496.19</v>
      </c>
      <c r="L98" s="8">
        <f t="shared" si="35"/>
        <v>0.171637595</v>
      </c>
      <c r="M98" s="5">
        <f>IF(4&lt;=Supuestos!$B$18,H98-Supuestos!$B$22*$C$26*(1+Supuestos!$B$9)^(4-1),0)</f>
        <v>2803033.567</v>
      </c>
      <c r="N98" s="5">
        <f>IF(4&lt;=Supuestos!$B$19,I98-Supuestos!$B$23*$C$29*(1+Supuestos!$B$9)^(4-1),0)</f>
        <v>1643202.422</v>
      </c>
      <c r="O98" s="5">
        <f t="shared" ref="O98:P98" si="38">O97+M98</f>
        <v>-7929543.123</v>
      </c>
      <c r="P98" s="5">
        <f t="shared" si="38"/>
        <v>-9919158.033</v>
      </c>
    </row>
    <row r="99" ht="14.25" customHeight="1">
      <c r="B99" s="19">
        <f>Supuestos!$B$25+5-1</f>
        <v>2030</v>
      </c>
      <c r="C99" s="5">
        <f>$C$39*(1+Supuestos!$B$9)^(5-1)</f>
        <v>32893931.68</v>
      </c>
      <c r="D99" s="5">
        <f>IF(B99&lt;=Supuestos!$B$26,$C$38*(1+Supuestos!$B$9)^(5-1),0)</f>
        <v>0</v>
      </c>
      <c r="E99" s="5">
        <f t="shared" si="32"/>
        <v>32893931.68</v>
      </c>
      <c r="F99" s="5">
        <f>$C$43*(1+Supuestos!$B$9)^(5-1)*(1-Supuestos!$B$11)^(5-1)</f>
        <v>6718435.122</v>
      </c>
      <c r="G99" s="5">
        <f>$C$44*(1+Supuestos!$B$9)^(5-1)*(1-Supuestos!$B$12)^(5-1)</f>
        <v>4831833.729</v>
      </c>
      <c r="H99" s="5">
        <f>IF(5&lt;=Supuestos!$B$18,$C$42*$C$31*(1+Supuestos!$B$10)^(5-1)*(1-Supuestos!$B$11)^(5-1),0)</f>
        <v>3535094.575</v>
      </c>
      <c r="I99" s="5">
        <f>IF(5&lt;=Supuestos!$B$19,G99*$C$32,0)</f>
        <v>2415916.865</v>
      </c>
      <c r="J99" s="10">
        <f t="shared" si="33"/>
        <v>5599257.411</v>
      </c>
      <c r="K99" s="5">
        <f t="shared" si="34"/>
        <v>25860753.61</v>
      </c>
      <c r="L99" s="8">
        <f t="shared" si="35"/>
        <v>0.1702215918</v>
      </c>
      <c r="M99" s="5">
        <f>IF(5&lt;=Supuestos!$B$18,H99-Supuestos!$B$22*$C$26*(1+Supuestos!$B$9)^(5-1),0)</f>
        <v>2925420.95</v>
      </c>
      <c r="N99" s="5">
        <f>IF(5&lt;=Supuestos!$B$19,I99-Supuestos!$B$23*$C$29*(1+Supuestos!$B$9)^(5-1),0)</f>
        <v>1694781.317</v>
      </c>
      <c r="O99" s="5">
        <f t="shared" ref="O99:P99" si="39">O98+M99</f>
        <v>-5004122.173</v>
      </c>
      <c r="P99" s="5">
        <f t="shared" si="39"/>
        <v>-8224376.716</v>
      </c>
    </row>
    <row r="100" ht="14.25" customHeight="1">
      <c r="B100" s="19">
        <f>Supuestos!$B$25+6-1</f>
        <v>2031</v>
      </c>
      <c r="C100" s="5">
        <f>$C$39*(1+Supuestos!$B$9)^(6-1)</f>
        <v>34538628.27</v>
      </c>
      <c r="D100" s="5">
        <f>IF(B100&lt;=Supuestos!$B$26,$C$38*(1+Supuestos!$B$9)^(6-1),0)</f>
        <v>0</v>
      </c>
      <c r="E100" s="5">
        <f t="shared" si="32"/>
        <v>34538628.27</v>
      </c>
      <c r="F100" s="5">
        <f>$C$43*(1+Supuestos!$B$9)^(6-1)*(1-Supuestos!$B$11)^(6-1)</f>
        <v>7019085.093</v>
      </c>
      <c r="G100" s="5">
        <f>$C$44*(1+Supuestos!$B$9)^(6-1)*(1-Supuestos!$B$12)^(6-1)</f>
        <v>5010007.598</v>
      </c>
      <c r="H100" s="5">
        <f>IF(6&lt;=Supuestos!$B$18,$C$42*$C$31*(1+Supuestos!$B$10)^(6-1)*(1-Supuestos!$B$11)^(6-1),0)</f>
        <v>3693290.058</v>
      </c>
      <c r="I100" s="5">
        <f>IF(6&lt;=Supuestos!$B$19,G100*$C$32,0)</f>
        <v>2505003.799</v>
      </c>
      <c r="J100" s="10">
        <f t="shared" si="33"/>
        <v>5830798.835</v>
      </c>
      <c r="K100" s="5">
        <f t="shared" si="34"/>
        <v>31691552.44</v>
      </c>
      <c r="L100" s="8">
        <f t="shared" si="35"/>
        <v>0.1688196413</v>
      </c>
      <c r="M100" s="5">
        <f>IF(6&lt;=Supuestos!$B$18,H100-Supuestos!$B$22*$C$26*(1+Supuestos!$B$9)^(6-1),0)</f>
        <v>3053132.751</v>
      </c>
      <c r="N100" s="5">
        <f>IF(6&lt;=Supuestos!$B$19,I100-Supuestos!$B$23*$C$29*(1+Supuestos!$B$9)^(6-1),0)</f>
        <v>1747811.474</v>
      </c>
      <c r="O100" s="5">
        <f t="shared" ref="O100:P100" si="40">O99+M100</f>
        <v>-1950989.421</v>
      </c>
      <c r="P100" s="5">
        <f t="shared" si="40"/>
        <v>-6476565.243</v>
      </c>
    </row>
    <row r="101" ht="14.25" customHeight="1">
      <c r="B101" s="19">
        <f>Supuestos!$B$25+7-1</f>
        <v>2032</v>
      </c>
      <c r="C101" s="5">
        <f>$C$39*(1+Supuestos!$B$9)^(7-1)</f>
        <v>36265559.68</v>
      </c>
      <c r="D101" s="5">
        <f>IF(B101&lt;=Supuestos!$B$26,$C$38*(1+Supuestos!$B$9)^(7-1),0)</f>
        <v>0</v>
      </c>
      <c r="E101" s="5">
        <f t="shared" si="32"/>
        <v>36265559.68</v>
      </c>
      <c r="F101" s="5">
        <f>$C$43*(1+Supuestos!$B$9)^(7-1)*(1-Supuestos!$B$11)^(7-1)</f>
        <v>7333189.151</v>
      </c>
      <c r="G101" s="5">
        <f>$C$44*(1+Supuestos!$B$9)^(7-1)*(1-Supuestos!$B$12)^(7-1)</f>
        <v>5194751.628</v>
      </c>
      <c r="H101" s="5">
        <f>IF(7&lt;=Supuestos!$B$18,$C$42*$C$31*(1+Supuestos!$B$10)^(7-1)*(1-Supuestos!$B$11)^(7-1),0)</f>
        <v>3858564.788</v>
      </c>
      <c r="I101" s="5">
        <f>IF(7&lt;=Supuestos!$B$19,G101*$C$32,0)</f>
        <v>2597375.814</v>
      </c>
      <c r="J101" s="10">
        <f t="shared" si="33"/>
        <v>6072000.178</v>
      </c>
      <c r="K101" s="5">
        <f t="shared" si="34"/>
        <v>37763552.62</v>
      </c>
      <c r="L101" s="8">
        <f t="shared" si="35"/>
        <v>0.1674315861</v>
      </c>
      <c r="M101" s="5">
        <f>IF(7&lt;=Supuestos!$B$18,H101-Supuestos!$B$22*$C$26*(1+Supuestos!$B$9)^(7-1),0)</f>
        <v>3186399.616</v>
      </c>
      <c r="N101" s="5">
        <f>IF(7&lt;=Supuestos!$B$19,I101-Supuestos!$B$23*$C$29*(1+Supuestos!$B$9)^(7-1),0)</f>
        <v>1802323.872</v>
      </c>
      <c r="O101" s="5">
        <f t="shared" ref="O101:P101" si="41">O100+M101</f>
        <v>1235410.195</v>
      </c>
      <c r="P101" s="5">
        <f t="shared" si="41"/>
        <v>-4674241.37</v>
      </c>
    </row>
    <row r="102" ht="14.25" customHeight="1">
      <c r="B102" s="19">
        <f>Supuestos!$B$25+8-1</f>
        <v>2033</v>
      </c>
      <c r="C102" s="5">
        <f>$C$39*(1+Supuestos!$B$9)^(8-1)</f>
        <v>38078837.66</v>
      </c>
      <c r="D102" s="5">
        <f>IF(B102&lt;=Supuestos!$B$26,$C$38*(1+Supuestos!$B$9)^(8-1),0)</f>
        <v>0</v>
      </c>
      <c r="E102" s="5">
        <f t="shared" si="32"/>
        <v>38078837.66</v>
      </c>
      <c r="F102" s="5">
        <f>$C$43*(1+Supuestos!$B$9)^(8-1)*(1-Supuestos!$B$11)^(8-1)</f>
        <v>7661349.366</v>
      </c>
      <c r="G102" s="5">
        <f>$C$44*(1+Supuestos!$B$9)^(8-1)*(1-Supuestos!$B$12)^(8-1)</f>
        <v>5386308.094</v>
      </c>
      <c r="H102" s="5">
        <f>IF(8&lt;=Supuestos!$B$18,$C$42*$C$31*(1+Supuestos!$B$10)^(8-1)*(1-Supuestos!$B$11)^(8-1),0)</f>
        <v>4031235.562</v>
      </c>
      <c r="I102" s="5">
        <f>IF(8&lt;=Supuestos!$B$19,G102*$C$32,0)</f>
        <v>2693154.047</v>
      </c>
      <c r="J102" s="10">
        <f t="shared" si="33"/>
        <v>6323267.851</v>
      </c>
      <c r="K102" s="5">
        <f t="shared" si="34"/>
        <v>44086820.47</v>
      </c>
      <c r="L102" s="8">
        <f t="shared" si="35"/>
        <v>0.1660572706</v>
      </c>
      <c r="M102" s="5">
        <f>IF(8&lt;=Supuestos!$B$18,H102-Supuestos!$B$22*$C$26*(1+Supuestos!$B$9)^(8-1),0)</f>
        <v>3325462.132</v>
      </c>
      <c r="N102" s="5">
        <f>IF(8&lt;=Supuestos!$B$19,I102-Supuestos!$B$23*$C$29*(1+Supuestos!$B$9)^(8-1),0)</f>
        <v>1858349.508</v>
      </c>
      <c r="O102" s="5">
        <f t="shared" ref="O102:P102" si="42">O101+M102</f>
        <v>4560872.327</v>
      </c>
      <c r="P102" s="5">
        <f t="shared" si="42"/>
        <v>-2815891.862</v>
      </c>
    </row>
    <row r="103" ht="14.25" customHeight="1">
      <c r="B103" s="19">
        <f>Supuestos!$B$25+9-1</f>
        <v>2034</v>
      </c>
      <c r="C103" s="5">
        <f>$C$39*(1+Supuestos!$B$9)^(9-1)</f>
        <v>39982779.55</v>
      </c>
      <c r="D103" s="5">
        <f>IF(B103&lt;=Supuestos!$B$26,$C$38*(1+Supuestos!$B$9)^(9-1),0)</f>
        <v>0</v>
      </c>
      <c r="E103" s="5">
        <f t="shared" si="32"/>
        <v>39982779.55</v>
      </c>
      <c r="F103" s="5">
        <f>$C$43*(1+Supuestos!$B$9)^(9-1)*(1-Supuestos!$B$11)^(9-1)</f>
        <v>8004194.75</v>
      </c>
      <c r="G103" s="5">
        <f>$C$44*(1+Supuestos!$B$9)^(9-1)*(1-Supuestos!$B$12)^(9-1)</f>
        <v>5584928.205</v>
      </c>
      <c r="H103" s="5">
        <f>IF(9&lt;=Supuestos!$B$18,$C$42*$C$31*(1+Supuestos!$B$10)^(9-1)*(1-Supuestos!$B$11)^(9-1),0)</f>
        <v>4211633.353</v>
      </c>
      <c r="I103" s="5">
        <f>IF(9&lt;=Supuestos!$B$19,G103*$C$32,0)</f>
        <v>2792464.103</v>
      </c>
      <c r="J103" s="10">
        <f t="shared" si="33"/>
        <v>6585025.499</v>
      </c>
      <c r="K103" s="5">
        <f t="shared" si="34"/>
        <v>50671845.97</v>
      </c>
      <c r="L103" s="8">
        <f t="shared" si="35"/>
        <v>0.1646965412</v>
      </c>
      <c r="M103" s="5">
        <f>IF(9&lt;=Supuestos!$B$18,H103-Supuestos!$B$22*$C$26*(1+Supuestos!$B$9)^(9-1),0)</f>
        <v>3470571.252</v>
      </c>
      <c r="N103" s="5">
        <f>IF(9&lt;=Supuestos!$B$19,I103-Supuestos!$B$23*$C$29*(1+Supuestos!$B$9)^(9-1),0)</f>
        <v>1915919.337</v>
      </c>
      <c r="O103" s="5">
        <f t="shared" ref="O103:P103" si="43">O102+M103</f>
        <v>8031443.579</v>
      </c>
      <c r="P103" s="5">
        <f t="shared" si="43"/>
        <v>-899972.5247</v>
      </c>
    </row>
    <row r="104" ht="14.25" customHeight="1">
      <c r="B104" s="19">
        <f>Supuestos!$B$25+10-1</f>
        <v>2035</v>
      </c>
      <c r="C104" s="5">
        <f>$C$39*(1+Supuestos!$B$9)^(10-1)</f>
        <v>41981918.52</v>
      </c>
      <c r="D104" s="5">
        <f>IF(B104&lt;=Supuestos!$B$26,$C$38*(1+Supuestos!$B$9)^(10-1),0)</f>
        <v>0</v>
      </c>
      <c r="E104" s="5">
        <f t="shared" si="32"/>
        <v>41981918.52</v>
      </c>
      <c r="F104" s="5">
        <f>$C$43*(1+Supuestos!$B$9)^(10-1)*(1-Supuestos!$B$11)^(10-1)</f>
        <v>8362382.465</v>
      </c>
      <c r="G104" s="5">
        <f>$C$44*(1+Supuestos!$B$9)^(10-1)*(1-Supuestos!$B$12)^(10-1)</f>
        <v>5790872.433</v>
      </c>
      <c r="H104" s="5">
        <f>IF(10&lt;=Supuestos!$B$18,$C$42*$C$31*(1+Supuestos!$B$10)^(10-1)*(1-Supuestos!$B$11)^(10-1),0)</f>
        <v>4400103.946</v>
      </c>
      <c r="I104" s="5">
        <f>IF(10&lt;=Supuestos!$B$19,G104*$C$32,0)</f>
        <v>2895436.216</v>
      </c>
      <c r="J104" s="10">
        <f t="shared" si="33"/>
        <v>6857714.736</v>
      </c>
      <c r="K104" s="5">
        <f t="shared" si="34"/>
        <v>57529560.7</v>
      </c>
      <c r="L104" s="8">
        <f t="shared" si="35"/>
        <v>0.163349246</v>
      </c>
      <c r="M104" s="5">
        <f>IF(10&lt;=Supuestos!$B$18,H104-Supuestos!$B$22*$C$26*(1+Supuestos!$B$9)^(10-1),0)</f>
        <v>3621988.739</v>
      </c>
      <c r="N104" s="5">
        <f>IF(10&lt;=Supuestos!$B$19,I104-Supuestos!$B$23*$C$29*(1+Supuestos!$B$9)^(10-1),0)</f>
        <v>1975064.213</v>
      </c>
      <c r="O104" s="5">
        <f t="shared" ref="O104:P104" si="44">O103+M104</f>
        <v>11653432.32</v>
      </c>
      <c r="P104" s="5">
        <f t="shared" si="44"/>
        <v>1075091.688</v>
      </c>
    </row>
    <row r="105" ht="14.25" customHeight="1">
      <c r="B105" s="19">
        <f>Supuestos!$B$25+11-1</f>
        <v>2036</v>
      </c>
      <c r="C105" s="5">
        <f>$C$39*(1+Supuestos!$B$9)^(11-1)</f>
        <v>44081014.45</v>
      </c>
      <c r="D105" s="5">
        <f>IF(B105&lt;=Supuestos!$B$26,$C$38*(1+Supuestos!$B$9)^(11-1),0)</f>
        <v>0</v>
      </c>
      <c r="E105" s="5">
        <f t="shared" si="32"/>
        <v>44081014.45</v>
      </c>
      <c r="F105" s="5">
        <f>$C$43*(1+Supuestos!$B$9)^(11-1)*(1-Supuestos!$B$11)^(11-1)</f>
        <v>8736599.08</v>
      </c>
      <c r="G105" s="5">
        <f>$C$44*(1+Supuestos!$B$9)^(11-1)*(1-Supuestos!$B$12)^(11-1)</f>
        <v>6004410.854</v>
      </c>
      <c r="H105" s="5">
        <f>IF(11&lt;=Supuestos!$B$18,$C$42*$C$31*(1+Supuestos!$B$10)^(11-1)*(1-Supuestos!$B$11)^(11-1),0)</f>
        <v>4597008.597</v>
      </c>
      <c r="I105" s="5">
        <f>IF(11&lt;=Supuestos!$B$19,G105*$C$32,0)</f>
        <v>3002205.427</v>
      </c>
      <c r="J105" s="10">
        <f t="shared" si="33"/>
        <v>7141795.91</v>
      </c>
      <c r="K105" s="5">
        <f t="shared" si="34"/>
        <v>64671356.61</v>
      </c>
      <c r="L105" s="8">
        <f t="shared" si="35"/>
        <v>0.1620152349</v>
      </c>
      <c r="M105" s="5">
        <f>IF(11&lt;=Supuestos!$B$18,H105-Supuestos!$B$22*$C$26*(1+Supuestos!$B$9)^(11-1),0)</f>
        <v>3779987.631</v>
      </c>
      <c r="N105" s="5">
        <f>IF(11&lt;=Supuestos!$B$19,I105-Supuestos!$B$23*$C$29*(1+Supuestos!$B$9)^(11-1),0)</f>
        <v>2035814.823</v>
      </c>
      <c r="O105" s="5">
        <f t="shared" ref="O105:P105" si="45">O104+M105</f>
        <v>15433419.95</v>
      </c>
      <c r="P105" s="5">
        <f t="shared" si="45"/>
        <v>3110906.511</v>
      </c>
    </row>
    <row r="106" ht="14.25" customHeight="1">
      <c r="B106" s="19">
        <f>Supuestos!$B$25+12-1</f>
        <v>2037</v>
      </c>
      <c r="C106" s="5">
        <f>$C$39*(1+Supuestos!$B$9)^(12-1)</f>
        <v>46285065.17</v>
      </c>
      <c r="D106" s="5">
        <f>IF(B106&lt;=Supuestos!$B$26,$C$38*(1+Supuestos!$B$9)^(12-1),0)</f>
        <v>0</v>
      </c>
      <c r="E106" s="5">
        <f t="shared" si="32"/>
        <v>46285065.17</v>
      </c>
      <c r="F106" s="5">
        <f>$C$43*(1+Supuestos!$B$9)^(12-1)*(1-Supuestos!$B$11)^(12-1)</f>
        <v>9127561.889</v>
      </c>
      <c r="G106" s="5">
        <f>$C$44*(1+Supuestos!$B$9)^(12-1)*(1-Supuestos!$B$12)^(12-1)</f>
        <v>6225823.504</v>
      </c>
      <c r="H106" s="5">
        <f>IF(12&lt;=Supuestos!$B$18,$C$42*$C$31*(1+Supuestos!$B$10)^(12-1)*(1-Supuestos!$B$11)^(12-1),0)</f>
        <v>4802724.732</v>
      </c>
      <c r="I106" s="5">
        <f>IF(12&lt;=Supuestos!$B$19,G106*$C$32,0)</f>
        <v>3112911.752</v>
      </c>
      <c r="J106" s="10">
        <f t="shared" si="33"/>
        <v>7437748.909</v>
      </c>
      <c r="K106" s="5">
        <f t="shared" si="34"/>
        <v>72109105.52</v>
      </c>
      <c r="L106" s="8">
        <f t="shared" si="35"/>
        <v>0.1606943596</v>
      </c>
      <c r="M106" s="5">
        <f>IF(12&lt;=Supuestos!$B$18,H106-Supuestos!$B$22*$C$26*(1+Supuestos!$B$9)^(12-1),0)</f>
        <v>3944852.717</v>
      </c>
      <c r="N106" s="5">
        <f>IF(12&lt;=Supuestos!$B$19,I106-Supuestos!$B$23*$C$29*(1+Supuestos!$B$9)^(12-1),0)</f>
        <v>2098201.618</v>
      </c>
      <c r="O106" s="5">
        <f t="shared" ref="O106:P106" si="46">O105+M106</f>
        <v>19378272.67</v>
      </c>
      <c r="P106" s="5">
        <f t="shared" si="46"/>
        <v>5209108.128</v>
      </c>
    </row>
    <row r="107" ht="14.25" customHeight="1">
      <c r="B107" s="19">
        <f>Supuestos!$B$25+13-1</f>
        <v>2038</v>
      </c>
      <c r="C107" s="5">
        <f>$C$39*(1+Supuestos!$B$9)^(13-1)</f>
        <v>48599318.43</v>
      </c>
      <c r="D107" s="5">
        <f>IF(B107&lt;=Supuestos!$B$26,$C$38*(1+Supuestos!$B$9)^(13-1),0)</f>
        <v>0</v>
      </c>
      <c r="E107" s="5">
        <f t="shared" si="32"/>
        <v>48599318.43</v>
      </c>
      <c r="F107" s="5">
        <f>$C$43*(1+Supuestos!$B$9)^(13-1)*(1-Supuestos!$B$11)^(13-1)</f>
        <v>9536020.284</v>
      </c>
      <c r="G107" s="5">
        <f>$C$44*(1+Supuestos!$B$9)^(13-1)*(1-Supuestos!$B$12)^(13-1)</f>
        <v>6455400.746</v>
      </c>
      <c r="H107" s="5">
        <f>IF(13&lt;=Supuestos!$B$18,$C$42*$C$31*(1+Supuestos!$B$10)^(13-1)*(1-Supuestos!$B$11)^(13-1),0)</f>
        <v>5017646.664</v>
      </c>
      <c r="I107" s="5">
        <f>IF(13&lt;=Supuestos!$B$19,G107*$C$32,0)</f>
        <v>3227700.373</v>
      </c>
      <c r="J107" s="10">
        <f t="shared" si="33"/>
        <v>7746073.993</v>
      </c>
      <c r="K107" s="5">
        <f t="shared" si="34"/>
        <v>79855179.51</v>
      </c>
      <c r="L107" s="8">
        <f t="shared" si="35"/>
        <v>0.1593864738</v>
      </c>
      <c r="M107" s="5">
        <f>IF(13&lt;=Supuestos!$B$18,H107-Supuestos!$B$22*$C$26*(1+Supuestos!$B$9)^(13-1),0)</f>
        <v>4116881.048</v>
      </c>
      <c r="N107" s="5">
        <f>IF(13&lt;=Supuestos!$B$19,I107-Supuestos!$B$23*$C$29*(1+Supuestos!$B$9)^(13-1),0)</f>
        <v>2162254.732</v>
      </c>
      <c r="O107" s="5">
        <f t="shared" ref="O107:P107" si="47">O106+M107</f>
        <v>23495153.71</v>
      </c>
      <c r="P107" s="5">
        <f t="shared" si="47"/>
        <v>7371362.86</v>
      </c>
    </row>
    <row r="108" ht="14.25" customHeight="1">
      <c r="B108" s="19">
        <f>Supuestos!$B$25+14-1</f>
        <v>2039</v>
      </c>
      <c r="C108" s="5">
        <f>$C$39*(1+Supuestos!$B$9)^(14-1)</f>
        <v>51029284.35</v>
      </c>
      <c r="D108" s="5">
        <f>IF(B108&lt;=Supuestos!$B$26,$C$38*(1+Supuestos!$B$9)^(14-1),0)</f>
        <v>0</v>
      </c>
      <c r="E108" s="5">
        <f t="shared" si="32"/>
        <v>51029284.35</v>
      </c>
      <c r="F108" s="5">
        <f>$C$43*(1+Supuestos!$B$9)^(14-1)*(1-Supuestos!$B$11)^(14-1)</f>
        <v>9962757.191</v>
      </c>
      <c r="G108" s="5">
        <f>$C$44*(1+Supuestos!$B$9)^(14-1)*(1-Supuestos!$B$12)^(14-1)</f>
        <v>6693443.648</v>
      </c>
      <c r="H108" s="5">
        <f>IF(14&lt;=Supuestos!$B$18,$C$42*$C$31*(1+Supuestos!$B$10)^(14-1)*(1-Supuestos!$B$11)^(14-1),0)</f>
        <v>5242186.352</v>
      </c>
      <c r="I108" s="5">
        <f>IF(14&lt;=Supuestos!$B$19,G108*$C$32,0)</f>
        <v>3346721.824</v>
      </c>
      <c r="J108" s="10">
        <f t="shared" si="33"/>
        <v>8067292.663</v>
      </c>
      <c r="K108" s="5">
        <f t="shared" si="34"/>
        <v>87922472.18</v>
      </c>
      <c r="L108" s="8">
        <f t="shared" si="35"/>
        <v>0.1580914325</v>
      </c>
      <c r="M108" s="5">
        <f>IF(14&lt;=Supuestos!$B$18,H108-Supuestos!$B$22*$C$26*(1+Supuestos!$B$9)^(14-1),0)</f>
        <v>4296382.455</v>
      </c>
      <c r="N108" s="5">
        <f>IF(14&lt;=Supuestos!$B$19,I108-Supuestos!$B$23*$C$29*(1+Supuestos!$B$9)^(14-1),0)</f>
        <v>2228003.901</v>
      </c>
      <c r="O108" s="5">
        <f t="shared" ref="O108:P108" si="48">O107+M108</f>
        <v>27791536.17</v>
      </c>
      <c r="P108" s="5">
        <f t="shared" si="48"/>
        <v>9599366.761</v>
      </c>
    </row>
    <row r="109" ht="14.25" customHeight="1">
      <c r="B109" s="19">
        <f>Supuestos!$B$25+15-1</f>
        <v>2040</v>
      </c>
      <c r="C109" s="5">
        <f>$C$39*(1+Supuestos!$B$9)^(15-1)</f>
        <v>53580748.57</v>
      </c>
      <c r="D109" s="5">
        <f>IF(B109&lt;=Supuestos!$B$26,$C$38*(1+Supuestos!$B$9)^(15-1),0)</f>
        <v>0</v>
      </c>
      <c r="E109" s="5">
        <f t="shared" si="32"/>
        <v>53580748.57</v>
      </c>
      <c r="F109" s="5">
        <f>$C$43*(1+Supuestos!$B$9)^(15-1)*(1-Supuestos!$B$11)^(15-1)</f>
        <v>10408590.58</v>
      </c>
      <c r="G109" s="5">
        <f>$C$44*(1+Supuestos!$B$9)^(15-1)*(1-Supuestos!$B$12)^(15-1)</f>
        <v>6940264.383</v>
      </c>
      <c r="H109" s="5">
        <f>IF(15&lt;=Supuestos!$B$18,$C$42*$C$31*(1+Supuestos!$B$10)^(15-1)*(1-Supuestos!$B$11)^(15-1),0)</f>
        <v>5476774.191</v>
      </c>
      <c r="I109" s="5">
        <f>IF(15&lt;=Supuestos!$B$19,G109*$C$32,0)</f>
        <v>3470132.191</v>
      </c>
      <c r="J109" s="10">
        <f t="shared" si="33"/>
        <v>8401948.576</v>
      </c>
      <c r="K109" s="5">
        <f t="shared" si="34"/>
        <v>96324420.75</v>
      </c>
      <c r="L109" s="8">
        <f t="shared" si="35"/>
        <v>0.1568090928</v>
      </c>
      <c r="M109" s="5">
        <f>IF(15&lt;=Supuestos!$B$18,H109-Supuestos!$B$22*$C$26*(1+Supuestos!$B$9)^(15-1),0)</f>
        <v>4483680.1</v>
      </c>
      <c r="N109" s="5">
        <f>IF(15&lt;=Supuestos!$B$19,I109-Supuestos!$B$23*$C$29*(1+Supuestos!$B$9)^(15-1),0)</f>
        <v>2295478.372</v>
      </c>
      <c r="O109" s="5">
        <f t="shared" ref="O109:P109" si="49">O108+M109</f>
        <v>32275216.27</v>
      </c>
      <c r="P109" s="5">
        <f t="shared" si="49"/>
        <v>11894845.13</v>
      </c>
    </row>
    <row r="110" ht="14.25" customHeight="1">
      <c r="B110" s="19">
        <f>Supuestos!$B$25+16-1</f>
        <v>2041</v>
      </c>
      <c r="C110" s="5">
        <f>$C$39*(1+Supuestos!$B$9)^(16-1)</f>
        <v>56259786</v>
      </c>
      <c r="D110" s="5">
        <f>IF(B110&lt;=Supuestos!$B$26,$C$38*(1+Supuestos!$B$9)^(16-1),0)</f>
        <v>0</v>
      </c>
      <c r="E110" s="5">
        <f t="shared" si="32"/>
        <v>56259786</v>
      </c>
      <c r="F110" s="5">
        <f>$C$43*(1+Supuestos!$B$9)^(16-1)*(1-Supuestos!$B$11)^(16-1)</f>
        <v>10874375</v>
      </c>
      <c r="G110" s="5">
        <f>$C$44*(1+Supuestos!$B$9)^(16-1)*(1-Supuestos!$B$12)^(16-1)</f>
        <v>7196186.632</v>
      </c>
      <c r="H110" s="5">
        <f>IF(16&lt;=Supuestos!$B$18,$C$42*$C$31*(1+Supuestos!$B$10)^(16-1)*(1-Supuestos!$B$11)^(16-1),0)</f>
        <v>0</v>
      </c>
      <c r="I110" s="5">
        <f>IF(16&lt;=Supuestos!$B$19,G110*$C$32,0)</f>
        <v>0</v>
      </c>
      <c r="J110" s="10">
        <f t="shared" si="33"/>
        <v>18070561.64</v>
      </c>
      <c r="K110" s="5">
        <f t="shared" si="34"/>
        <v>114394982.4</v>
      </c>
      <c r="L110" s="8">
        <f t="shared" si="35"/>
        <v>0.3211985491</v>
      </c>
      <c r="M110" s="5">
        <f>IF(16&lt;=Supuestos!$B$18,H110-Supuestos!$B$22*$C$26*(1+Supuestos!$B$9)^(16-1),0)</f>
        <v>0</v>
      </c>
      <c r="N110" s="5">
        <f>IF(16&lt;=Supuestos!$B$19,I110-Supuestos!$B$23*$C$29*(1+Supuestos!$B$9)^(16-1),0)</f>
        <v>0</v>
      </c>
      <c r="O110" s="5">
        <f t="shared" ref="O110:P110" si="50">O109+M110</f>
        <v>32275216.27</v>
      </c>
      <c r="P110" s="5">
        <f t="shared" si="50"/>
        <v>11894845.13</v>
      </c>
    </row>
    <row r="111" ht="14.25" customHeight="1">
      <c r="B111" s="19">
        <f>Supuestos!$B$25+17-1</f>
        <v>2042</v>
      </c>
      <c r="C111" s="5">
        <f>$C$39*(1+Supuestos!$B$9)^(17-1)</f>
        <v>59072775.3</v>
      </c>
      <c r="D111" s="5">
        <f>IF(B111&lt;=Supuestos!$B$26,$C$38*(1+Supuestos!$B$9)^(17-1),0)</f>
        <v>0</v>
      </c>
      <c r="E111" s="5">
        <f t="shared" si="32"/>
        <v>59072775.3</v>
      </c>
      <c r="F111" s="5">
        <f>$C$43*(1+Supuestos!$B$9)^(17-1)*(1-Supuestos!$B$11)^(17-1)</f>
        <v>11361003.29</v>
      </c>
      <c r="G111" s="5">
        <f>$C$44*(1+Supuestos!$B$9)^(17-1)*(1-Supuestos!$B$12)^(17-1)</f>
        <v>7461546.014</v>
      </c>
      <c r="H111" s="5">
        <f>IF(17&lt;=Supuestos!$B$18,$C$42*$C$31*(1+Supuestos!$B$10)^(17-1)*(1-Supuestos!$B$11)^(17-1),0)</f>
        <v>0</v>
      </c>
      <c r="I111" s="5">
        <f>IF(17&lt;=Supuestos!$B$19,G111*$C$32,0)</f>
        <v>0</v>
      </c>
      <c r="J111" s="10">
        <f t="shared" si="33"/>
        <v>18822549.3</v>
      </c>
      <c r="K111" s="5">
        <f t="shared" si="34"/>
        <v>133217531.7</v>
      </c>
      <c r="L111" s="8">
        <f t="shared" si="35"/>
        <v>0.3186332317</v>
      </c>
      <c r="M111" s="5">
        <f>IF(17&lt;=Supuestos!$B$18,H111-Supuestos!$B$22*$C$26*(1+Supuestos!$B$9)^(17-1),0)</f>
        <v>0</v>
      </c>
      <c r="N111" s="5">
        <f>IF(17&lt;=Supuestos!$B$19,I111-Supuestos!$B$23*$C$29*(1+Supuestos!$B$9)^(17-1),0)</f>
        <v>0</v>
      </c>
      <c r="O111" s="5">
        <f t="shared" ref="O111:P111" si="51">O110+M111</f>
        <v>32275216.27</v>
      </c>
      <c r="P111" s="5">
        <f t="shared" si="51"/>
        <v>11894845.13</v>
      </c>
    </row>
    <row r="112" ht="14.25" customHeight="1">
      <c r="B112" s="19">
        <f>Supuestos!$B$25+18-1</f>
        <v>2043</v>
      </c>
      <c r="C112" s="5">
        <f>$C$39*(1+Supuestos!$B$9)^(18-1)</f>
        <v>62026414.06</v>
      </c>
      <c r="D112" s="5">
        <f>IF(B112&lt;=Supuestos!$B$26,$C$38*(1+Supuestos!$B$9)^(18-1),0)</f>
        <v>0</v>
      </c>
      <c r="E112" s="5">
        <f t="shared" si="32"/>
        <v>62026414.06</v>
      </c>
      <c r="F112" s="5">
        <f>$C$43*(1+Supuestos!$B$9)^(18-1)*(1-Supuestos!$B$11)^(18-1)</f>
        <v>11869408.18</v>
      </c>
      <c r="G112" s="5">
        <f>$C$44*(1+Supuestos!$B$9)^(18-1)*(1-Supuestos!$B$12)^(18-1)</f>
        <v>7736690.523</v>
      </c>
      <c r="H112" s="5">
        <f>IF(18&lt;=Supuestos!$B$18,$C$42*$C$31*(1+Supuestos!$B$10)^(18-1)*(1-Supuestos!$B$11)^(18-1),0)</f>
        <v>0</v>
      </c>
      <c r="I112" s="5">
        <f>IF(18&lt;=Supuestos!$B$19,G112*$C$32,0)</f>
        <v>0</v>
      </c>
      <c r="J112" s="10">
        <f t="shared" si="33"/>
        <v>19606098.71</v>
      </c>
      <c r="K112" s="5">
        <f t="shared" si="34"/>
        <v>152823630.4</v>
      </c>
      <c r="L112" s="8">
        <f t="shared" si="35"/>
        <v>0.3160927325</v>
      </c>
      <c r="M112" s="5">
        <f>IF(18&lt;=Supuestos!$B$18,H112-Supuestos!$B$22*$C$26*(1+Supuestos!$B$9)^(18-1),0)</f>
        <v>0</v>
      </c>
      <c r="N112" s="5">
        <f>IF(18&lt;=Supuestos!$B$19,I112-Supuestos!$B$23*$C$29*(1+Supuestos!$B$9)^(18-1),0)</f>
        <v>0</v>
      </c>
      <c r="O112" s="5">
        <f t="shared" ref="O112:P112" si="52">O111+M112</f>
        <v>32275216.27</v>
      </c>
      <c r="P112" s="5">
        <f t="shared" si="52"/>
        <v>11894845.13</v>
      </c>
    </row>
    <row r="113" ht="14.25" customHeight="1">
      <c r="B113" s="19">
        <f>Supuestos!$B$25+19-1</f>
        <v>2044</v>
      </c>
      <c r="C113" s="5">
        <f>$C$39*(1+Supuestos!$B$9)^(19-1)</f>
        <v>65127734.77</v>
      </c>
      <c r="D113" s="5">
        <f>IF(B113&lt;=Supuestos!$B$26,$C$38*(1+Supuestos!$B$9)^(19-1),0)</f>
        <v>0</v>
      </c>
      <c r="E113" s="5">
        <f t="shared" si="32"/>
        <v>65127734.77</v>
      </c>
      <c r="F113" s="5">
        <f>$C$43*(1+Supuestos!$B$9)^(19-1)*(1-Supuestos!$B$11)^(19-1)</f>
        <v>12400564.2</v>
      </c>
      <c r="G113" s="5">
        <f>$C$44*(1+Supuestos!$B$9)^(19-1)*(1-Supuestos!$B$12)^(19-1)</f>
        <v>8021980.986</v>
      </c>
      <c r="H113" s="5">
        <f>IF(19&lt;=Supuestos!$B$18,$C$42*$C$31*(1+Supuestos!$B$10)^(19-1)*(1-Supuestos!$B$11)^(19-1),0)</f>
        <v>0</v>
      </c>
      <c r="I113" s="5">
        <f>IF(19&lt;=Supuestos!$B$19,G113*$C$32,0)</f>
        <v>0</v>
      </c>
      <c r="J113" s="10">
        <f t="shared" si="33"/>
        <v>20422545.18</v>
      </c>
      <c r="K113" s="5">
        <f t="shared" si="34"/>
        <v>173246175.6</v>
      </c>
      <c r="L113" s="8">
        <f t="shared" si="35"/>
        <v>0.3135767774</v>
      </c>
      <c r="M113" s="5">
        <f>IF(19&lt;=Supuestos!$B$18,H113-Supuestos!$B$22*$C$26*(1+Supuestos!$B$9)^(19-1),0)</f>
        <v>0</v>
      </c>
      <c r="N113" s="5">
        <f>IF(19&lt;=Supuestos!$B$19,I113-Supuestos!$B$23*$C$29*(1+Supuestos!$B$9)^(19-1),0)</f>
        <v>0</v>
      </c>
      <c r="O113" s="5">
        <f t="shared" ref="O113:P113" si="53">O112+M113</f>
        <v>32275216.27</v>
      </c>
      <c r="P113" s="5">
        <f t="shared" si="53"/>
        <v>11894845.13</v>
      </c>
    </row>
    <row r="114" ht="14.25" customHeight="1">
      <c r="B114" s="19">
        <f>Supuestos!$B$25+20-1</f>
        <v>2045</v>
      </c>
      <c r="C114" s="5">
        <f>$C$39*(1+Supuestos!$B$9)^(20-1)</f>
        <v>68384121.5</v>
      </c>
      <c r="D114" s="5">
        <f>IF(B114&lt;=Supuestos!$B$26,$C$38*(1+Supuestos!$B$9)^(20-1),0)</f>
        <v>0</v>
      </c>
      <c r="E114" s="5">
        <f t="shared" si="32"/>
        <v>68384121.5</v>
      </c>
      <c r="F114" s="5">
        <f>$C$43*(1+Supuestos!$B$9)^(20-1)*(1-Supuestos!$B$11)^(20-1)</f>
        <v>12955489.45</v>
      </c>
      <c r="G114" s="5">
        <f>$C$44*(1+Supuestos!$B$9)^(20-1)*(1-Supuestos!$B$12)^(20-1)</f>
        <v>8317791.535</v>
      </c>
      <c r="H114" s="5">
        <f>IF(20&lt;=Supuestos!$B$18,$C$42*$C$31*(1+Supuestos!$B$10)^(20-1)*(1-Supuestos!$B$11)^(20-1),0)</f>
        <v>0</v>
      </c>
      <c r="I114" s="5">
        <f>IF(20&lt;=Supuestos!$B$19,G114*$C$32,0)</f>
        <v>0</v>
      </c>
      <c r="J114" s="10">
        <f t="shared" si="33"/>
        <v>21273280.98</v>
      </c>
      <c r="K114" s="5">
        <f t="shared" si="34"/>
        <v>194519456.6</v>
      </c>
      <c r="L114" s="8">
        <f t="shared" si="35"/>
        <v>0.3110850957</v>
      </c>
      <c r="M114" s="5">
        <f>IF(20&lt;=Supuestos!$B$18,H114-Supuestos!$B$22*$C$26*(1+Supuestos!$B$9)^(20-1),0)</f>
        <v>0</v>
      </c>
      <c r="N114" s="5">
        <f>IF(20&lt;=Supuestos!$B$19,I114-Supuestos!$B$23*$C$29*(1+Supuestos!$B$9)^(20-1),0)</f>
        <v>0</v>
      </c>
      <c r="O114" s="5">
        <f t="shared" ref="O114:P114" si="54">O113+M114</f>
        <v>32275216.27</v>
      </c>
      <c r="P114" s="5">
        <f t="shared" si="54"/>
        <v>11894845.13</v>
      </c>
    </row>
    <row r="115" ht="14.25" customHeight="1"/>
    <row r="116" ht="14.25" customHeight="1"/>
    <row r="117" ht="14.25" customHeight="1">
      <c r="A117" s="1" t="s">
        <v>200</v>
      </c>
    </row>
    <row r="118" ht="14.25" customHeight="1">
      <c r="B118" s="2" t="s">
        <v>184</v>
      </c>
      <c r="C118" s="2" t="s">
        <v>185</v>
      </c>
      <c r="D118" s="2" t="s">
        <v>186</v>
      </c>
      <c r="E118" s="2" t="s">
        <v>187</v>
      </c>
      <c r="F118" s="2" t="s">
        <v>188</v>
      </c>
      <c r="G118" s="2" t="s">
        <v>189</v>
      </c>
      <c r="H118" s="2" t="s">
        <v>190</v>
      </c>
      <c r="I118" s="2" t="s">
        <v>191</v>
      </c>
      <c r="J118" s="2" t="s">
        <v>192</v>
      </c>
      <c r="K118" s="2" t="s">
        <v>193</v>
      </c>
      <c r="L118" s="2" t="s">
        <v>194</v>
      </c>
      <c r="M118" s="2" t="s">
        <v>195</v>
      </c>
      <c r="N118" s="2" t="s">
        <v>196</v>
      </c>
      <c r="O118" s="2" t="s">
        <v>197</v>
      </c>
      <c r="P118" s="2" t="s">
        <v>198</v>
      </c>
    </row>
    <row r="119" ht="14.25" customHeight="1">
      <c r="B119" s="4" t="s">
        <v>199</v>
      </c>
      <c r="C119" s="5">
        <v>0.0</v>
      </c>
      <c r="D119" s="5">
        <v>0.0</v>
      </c>
      <c r="E119" s="5">
        <v>0.0</v>
      </c>
      <c r="F119" s="5">
        <v>0.0</v>
      </c>
      <c r="G119" s="5">
        <v>0.0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5">
        <f>-$D$34</f>
        <v>-9576025.875</v>
      </c>
      <c r="N119" s="5">
        <f>-$D$36</f>
        <v>-16196544</v>
      </c>
      <c r="O119" s="5">
        <f t="shared" ref="O119:P119" si="55">M119</f>
        <v>-9576025.875</v>
      </c>
      <c r="P119" s="5">
        <f t="shared" si="55"/>
        <v>-16196544</v>
      </c>
    </row>
    <row r="120" ht="14.25" customHeight="1">
      <c r="B120" s="19">
        <f>Supuestos!$B$25+1-1</f>
        <v>2026</v>
      </c>
      <c r="C120" s="5">
        <f>$D$39*(1+Supuestos!$B$9)^(1-1)</f>
        <v>27061919</v>
      </c>
      <c r="D120" s="5">
        <f>IF(B120&lt;=Supuestos!$B$26,$D$38*(1+Supuestos!$B$9)^(1-1),0)</f>
        <v>0</v>
      </c>
      <c r="E120" s="5">
        <f t="shared" ref="E120:E139" si="57">C120-D120</f>
        <v>27061919</v>
      </c>
      <c r="F120" s="5">
        <f>$D$43*(1+Supuestos!$B$9)^(1-1)*(1-Supuestos!$B$11)^(1-1)</f>
        <v>3104778.994</v>
      </c>
      <c r="G120" s="5">
        <f>$D$44*(1+Supuestos!$B$9)^(1-1)*(1-Supuestos!$B$12)^(1-1)</f>
        <v>4180289.581</v>
      </c>
      <c r="H120" s="5">
        <f>IF(1&lt;=Supuestos!$B$18,$D$42*$D$31*(1+Supuestos!$B$10)^(1-1)*(1-Supuestos!$B$11)^(1-1),0)</f>
        <v>1539495.193</v>
      </c>
      <c r="I120" s="5">
        <f>IF(1&lt;=Supuestos!$B$19,G120*$D$32,0)</f>
        <v>2090144.79</v>
      </c>
      <c r="J120" s="10">
        <f t="shared" ref="J120:J139" si="58">F120+G120-H120-I120</f>
        <v>3655428.591</v>
      </c>
      <c r="K120" s="5">
        <f t="shared" ref="K120:K139" si="59">K119+J120</f>
        <v>3655428.591</v>
      </c>
      <c r="L120" s="8">
        <f t="shared" ref="L120:L139" si="60">IF(E120&gt;0,J120/E120,0)</f>
        <v>0.1350764737</v>
      </c>
      <c r="M120" s="5">
        <f>IF(1&lt;=Supuestos!$B$18,H120-Supuestos!$B$22*$D$26*(1+Supuestos!$B$9)^(1-1),0)</f>
        <v>1279265.693</v>
      </c>
      <c r="N120" s="5">
        <f>IF(1&lt;=Supuestos!$B$19,I120-Supuestos!$B$23*$D$29*(1+Supuestos!$B$9)^(1-1),0)</f>
        <v>1496864.79</v>
      </c>
      <c r="O120" s="5">
        <f t="shared" ref="O120:P120" si="56">O119+M120</f>
        <v>-8296760.182</v>
      </c>
      <c r="P120" s="5">
        <f t="shared" si="56"/>
        <v>-14699679.21</v>
      </c>
    </row>
    <row r="121" ht="14.25" customHeight="1">
      <c r="B121" s="19">
        <f>Supuestos!$B$25+2-1</f>
        <v>2027</v>
      </c>
      <c r="C121" s="5">
        <f>$D$39*(1+Supuestos!$B$9)^(2-1)</f>
        <v>28415014.95</v>
      </c>
      <c r="D121" s="5">
        <f>IF(B121&lt;=Supuestos!$B$26,$D$38*(1+Supuestos!$B$9)^(2-1),0)</f>
        <v>0</v>
      </c>
      <c r="E121" s="5">
        <f t="shared" si="57"/>
        <v>28415014.95</v>
      </c>
      <c r="F121" s="5">
        <f>$D$43*(1+Supuestos!$B$9)^(2-1)*(1-Supuestos!$B$11)^(2-1)</f>
        <v>3243717.854</v>
      </c>
      <c r="G121" s="5">
        <f>$D$44*(1+Supuestos!$B$9)^(2-1)*(1-Supuestos!$B$12)^(2-1)</f>
        <v>4334437.759</v>
      </c>
      <c r="H121" s="5">
        <f>IF(2&lt;=Supuestos!$B$18,$D$42*$D$31*(1+Supuestos!$B$10)^(2-1)*(1-Supuestos!$B$11)^(2-1),0)</f>
        <v>1608387.603</v>
      </c>
      <c r="I121" s="5">
        <f>IF(2&lt;=Supuestos!$B$19,G121*$D$32,0)</f>
        <v>2167218.88</v>
      </c>
      <c r="J121" s="10">
        <f t="shared" si="58"/>
        <v>3802549.13</v>
      </c>
      <c r="K121" s="5">
        <f t="shared" si="59"/>
        <v>7457977.722</v>
      </c>
      <c r="L121" s="8">
        <f t="shared" si="60"/>
        <v>0.133821824</v>
      </c>
      <c r="M121" s="5">
        <f>IF(2&lt;=Supuestos!$B$18,H121-Supuestos!$B$22*$D$26*(1+Supuestos!$B$9)^(2-1),0)</f>
        <v>1335146.628</v>
      </c>
      <c r="N121" s="5">
        <f>IF(2&lt;=Supuestos!$B$19,I121-Supuestos!$B$23*$D$29*(1+Supuestos!$B$9)^(2-1),0)</f>
        <v>1544274.88</v>
      </c>
      <c r="O121" s="5">
        <f t="shared" ref="O121:P121" si="61">O120+M121</f>
        <v>-6961613.554</v>
      </c>
      <c r="P121" s="5">
        <f t="shared" si="61"/>
        <v>-13155404.33</v>
      </c>
    </row>
    <row r="122" ht="14.25" customHeight="1">
      <c r="B122" s="19">
        <f>Supuestos!$B$25+3-1</f>
        <v>2028</v>
      </c>
      <c r="C122" s="5">
        <f>$D$39*(1+Supuestos!$B$9)^(3-1)</f>
        <v>29835765.7</v>
      </c>
      <c r="D122" s="5">
        <f>IF(B122&lt;=Supuestos!$B$26,$D$38*(1+Supuestos!$B$9)^(3-1),0)</f>
        <v>0</v>
      </c>
      <c r="E122" s="5">
        <f t="shared" si="57"/>
        <v>29835765.7</v>
      </c>
      <c r="F122" s="5">
        <f>$D$43*(1+Supuestos!$B$9)^(3-1)*(1-Supuestos!$B$11)^(3-1)</f>
        <v>3388874.228</v>
      </c>
      <c r="G122" s="5">
        <f>$D$44*(1+Supuestos!$B$9)^(3-1)*(1-Supuestos!$B$12)^(3-1)</f>
        <v>4494270.151</v>
      </c>
      <c r="H122" s="5">
        <f>IF(3&lt;=Supuestos!$B$18,$D$42*$D$31*(1+Supuestos!$B$10)^(3-1)*(1-Supuestos!$B$11)^(3-1),0)</f>
        <v>1680362.948</v>
      </c>
      <c r="I122" s="5">
        <f>IF(3&lt;=Supuestos!$B$19,G122*$D$32,0)</f>
        <v>2247135.076</v>
      </c>
      <c r="J122" s="10">
        <f t="shared" si="58"/>
        <v>3955646.355</v>
      </c>
      <c r="K122" s="5">
        <f t="shared" si="59"/>
        <v>11413624.08</v>
      </c>
      <c r="L122" s="8">
        <f t="shared" si="60"/>
        <v>0.1325806884</v>
      </c>
      <c r="M122" s="5">
        <f>IF(3&lt;=Supuestos!$B$18,H122-Supuestos!$B$22*$D$26*(1+Supuestos!$B$9)^(3-1),0)</f>
        <v>1393459.925</v>
      </c>
      <c r="N122" s="5">
        <f>IF(3&lt;=Supuestos!$B$19,I122-Supuestos!$B$23*$D$29*(1+Supuestos!$B$9)^(3-1),0)</f>
        <v>1593043.876</v>
      </c>
      <c r="O122" s="5">
        <f t="shared" ref="O122:P122" si="62">O121+M122</f>
        <v>-5568153.629</v>
      </c>
      <c r="P122" s="5">
        <f t="shared" si="62"/>
        <v>-11562360.45</v>
      </c>
    </row>
    <row r="123" ht="14.25" customHeight="1">
      <c r="B123" s="19">
        <f>Supuestos!$B$25+4-1</f>
        <v>2029</v>
      </c>
      <c r="C123" s="5">
        <f>$D$39*(1+Supuestos!$B$9)^(4-1)</f>
        <v>31327553.98</v>
      </c>
      <c r="D123" s="5">
        <f>IF(B123&lt;=Supuestos!$B$26,$D$38*(1+Supuestos!$B$9)^(4-1),0)</f>
        <v>0</v>
      </c>
      <c r="E123" s="5">
        <f t="shared" si="57"/>
        <v>31327553.98</v>
      </c>
      <c r="F123" s="5">
        <f>$D$43*(1+Supuestos!$B$9)^(4-1)*(1-Supuestos!$B$11)^(4-1)</f>
        <v>3540526.35</v>
      </c>
      <c r="G123" s="5">
        <f>$D$44*(1+Supuestos!$B$9)^(4-1)*(1-Supuestos!$B$12)^(4-1)</f>
        <v>4659996.363</v>
      </c>
      <c r="H123" s="5">
        <f>IF(4&lt;=Supuestos!$B$18,$D$42*$D$31*(1+Supuestos!$B$10)^(4-1)*(1-Supuestos!$B$11)^(4-1),0)</f>
        <v>1755559.19</v>
      </c>
      <c r="I123" s="5">
        <f>IF(4&lt;=Supuestos!$B$19,G123*$D$32,0)</f>
        <v>2329998.182</v>
      </c>
      <c r="J123" s="10">
        <f t="shared" si="58"/>
        <v>4114965.341</v>
      </c>
      <c r="K123" s="5">
        <f t="shared" si="59"/>
        <v>15528589.42</v>
      </c>
      <c r="L123" s="8">
        <f t="shared" si="60"/>
        <v>0.1313529088</v>
      </c>
      <c r="M123" s="5">
        <f>IF(4&lt;=Supuestos!$B$18,H123-Supuestos!$B$22*$D$26*(1+Supuestos!$B$9)^(4-1),0)</f>
        <v>1454311.015</v>
      </c>
      <c r="N123" s="5">
        <f>IF(4&lt;=Supuestos!$B$19,I123-Supuestos!$B$23*$D$29*(1+Supuestos!$B$9)^(4-1),0)</f>
        <v>1643202.422</v>
      </c>
      <c r="O123" s="5">
        <f t="shared" ref="O123:P123" si="63">O122+M123</f>
        <v>-4113842.614</v>
      </c>
      <c r="P123" s="5">
        <f t="shared" si="63"/>
        <v>-9919158.033</v>
      </c>
    </row>
    <row r="124" ht="14.25" customHeight="1">
      <c r="B124" s="19">
        <f>Supuestos!$B$25+5-1</f>
        <v>2030</v>
      </c>
      <c r="C124" s="5">
        <f>$D$39*(1+Supuestos!$B$9)^(5-1)</f>
        <v>32893931.68</v>
      </c>
      <c r="D124" s="5">
        <f>IF(B124&lt;=Supuestos!$B$26,$D$38*(1+Supuestos!$B$9)^(5-1),0)</f>
        <v>0</v>
      </c>
      <c r="E124" s="5">
        <f t="shared" si="57"/>
        <v>32893931.68</v>
      </c>
      <c r="F124" s="5">
        <f>$D$43*(1+Supuestos!$B$9)^(5-1)*(1-Supuestos!$B$11)^(5-1)</f>
        <v>3698964.904</v>
      </c>
      <c r="G124" s="5">
        <f>$D$44*(1+Supuestos!$B$9)^(5-1)*(1-Supuestos!$B$12)^(5-1)</f>
        <v>4831833.729</v>
      </c>
      <c r="H124" s="5">
        <f>IF(5&lt;=Supuestos!$B$18,$D$42*$D$31*(1+Supuestos!$B$10)^(5-1)*(1-Supuestos!$B$11)^(5-1),0)</f>
        <v>1834120.464</v>
      </c>
      <c r="I124" s="5">
        <f>IF(5&lt;=Supuestos!$B$19,G124*$D$32,0)</f>
        <v>2415916.865</v>
      </c>
      <c r="J124" s="10">
        <f t="shared" si="58"/>
        <v>4280761.304</v>
      </c>
      <c r="K124" s="5">
        <f t="shared" si="59"/>
        <v>19809350.72</v>
      </c>
      <c r="L124" s="8">
        <f t="shared" si="60"/>
        <v>0.130138329</v>
      </c>
      <c r="M124" s="5">
        <f>IF(5&lt;=Supuestos!$B$18,H124-Supuestos!$B$22*$D$26*(1+Supuestos!$B$9)^(5-1),0)</f>
        <v>1517809.88</v>
      </c>
      <c r="N124" s="5">
        <f>IF(5&lt;=Supuestos!$B$19,I124-Supuestos!$B$23*$D$29*(1+Supuestos!$B$9)^(5-1),0)</f>
        <v>1694781.317</v>
      </c>
      <c r="O124" s="5">
        <f t="shared" ref="O124:P124" si="64">O123+M124</f>
        <v>-2596032.733</v>
      </c>
      <c r="P124" s="5">
        <f t="shared" si="64"/>
        <v>-8224376.716</v>
      </c>
    </row>
    <row r="125" ht="14.25" customHeight="1">
      <c r="B125" s="19">
        <f>Supuestos!$B$25+6-1</f>
        <v>2031</v>
      </c>
      <c r="C125" s="5">
        <f>$D$39*(1+Supuestos!$B$9)^(6-1)</f>
        <v>34538628.27</v>
      </c>
      <c r="D125" s="5">
        <f>IF(B125&lt;=Supuestos!$B$26,$D$38*(1+Supuestos!$B$9)^(6-1),0)</f>
        <v>0</v>
      </c>
      <c r="E125" s="5">
        <f t="shared" si="57"/>
        <v>34538628.27</v>
      </c>
      <c r="F125" s="5">
        <f>$D$43*(1+Supuestos!$B$9)^(6-1)*(1-Supuestos!$B$11)^(6-1)</f>
        <v>3864493.583</v>
      </c>
      <c r="G125" s="5">
        <f>$D$44*(1+Supuestos!$B$9)^(6-1)*(1-Supuestos!$B$12)^(6-1)</f>
        <v>5010007.598</v>
      </c>
      <c r="H125" s="5">
        <f>IF(6&lt;=Supuestos!$B$18,$D$42*$D$31*(1+Supuestos!$B$10)^(6-1)*(1-Supuestos!$B$11)^(6-1),0)</f>
        <v>1916197.355</v>
      </c>
      <c r="I125" s="5">
        <f>IF(6&lt;=Supuestos!$B$19,G125*$D$32,0)</f>
        <v>2505003.799</v>
      </c>
      <c r="J125" s="10">
        <f t="shared" si="58"/>
        <v>4453300.027</v>
      </c>
      <c r="K125" s="5">
        <f t="shared" si="59"/>
        <v>24262650.75</v>
      </c>
      <c r="L125" s="8">
        <f t="shared" si="60"/>
        <v>0.1289367949</v>
      </c>
      <c r="M125" s="5">
        <f>IF(6&lt;=Supuestos!$B$18,H125-Supuestos!$B$22*$D$26*(1+Supuestos!$B$9)^(6-1),0)</f>
        <v>1584071.242</v>
      </c>
      <c r="N125" s="5">
        <f>IF(6&lt;=Supuestos!$B$19,I125-Supuestos!$B$23*$D$29*(1+Supuestos!$B$9)^(6-1),0)</f>
        <v>1747811.474</v>
      </c>
      <c r="O125" s="5">
        <f t="shared" ref="O125:P125" si="65">O124+M125</f>
        <v>-1011961.491</v>
      </c>
      <c r="P125" s="5">
        <f t="shared" si="65"/>
        <v>-6476565.243</v>
      </c>
    </row>
    <row r="126" ht="14.25" customHeight="1">
      <c r="B126" s="19">
        <f>Supuestos!$B$25+7-1</f>
        <v>2032</v>
      </c>
      <c r="C126" s="5">
        <f>$D$39*(1+Supuestos!$B$9)^(7-1)</f>
        <v>36265559.68</v>
      </c>
      <c r="D126" s="5">
        <f>IF(B126&lt;=Supuestos!$B$26,$D$38*(1+Supuestos!$B$9)^(7-1),0)</f>
        <v>0</v>
      </c>
      <c r="E126" s="5">
        <f t="shared" si="57"/>
        <v>36265559.68</v>
      </c>
      <c r="F126" s="5">
        <f>$D$43*(1+Supuestos!$B$9)^(7-1)*(1-Supuestos!$B$11)^(7-1)</f>
        <v>4037429.671</v>
      </c>
      <c r="G126" s="5">
        <f>$D$44*(1+Supuestos!$B$9)^(7-1)*(1-Supuestos!$B$12)^(7-1)</f>
        <v>5194751.628</v>
      </c>
      <c r="H126" s="5">
        <f>IF(7&lt;=Supuestos!$B$18,$D$42*$D$31*(1+Supuestos!$B$10)^(7-1)*(1-Supuestos!$B$11)^(7-1),0)</f>
        <v>2001947.187</v>
      </c>
      <c r="I126" s="5">
        <f>IF(7&lt;=Supuestos!$B$19,G126*$D$32,0)</f>
        <v>2597375.814</v>
      </c>
      <c r="J126" s="10">
        <f t="shared" si="58"/>
        <v>4632858.299</v>
      </c>
      <c r="K126" s="5">
        <f t="shared" si="59"/>
        <v>28895509.05</v>
      </c>
      <c r="L126" s="8">
        <f t="shared" si="60"/>
        <v>0.1277481539</v>
      </c>
      <c r="M126" s="5">
        <f>IF(7&lt;=Supuestos!$B$18,H126-Supuestos!$B$22*$D$26*(1+Supuestos!$B$9)^(7-1),0)</f>
        <v>1653214.768</v>
      </c>
      <c r="N126" s="5">
        <f>IF(7&lt;=Supuestos!$B$19,I126-Supuestos!$B$23*$D$29*(1+Supuestos!$B$9)^(7-1),0)</f>
        <v>1802323.872</v>
      </c>
      <c r="O126" s="5">
        <f t="shared" ref="O126:P126" si="66">O125+M126</f>
        <v>641253.2769</v>
      </c>
      <c r="P126" s="5">
        <f t="shared" si="66"/>
        <v>-4674241.37</v>
      </c>
    </row>
    <row r="127" ht="14.25" customHeight="1">
      <c r="B127" s="19">
        <f>Supuestos!$B$25+8-1</f>
        <v>2033</v>
      </c>
      <c r="C127" s="5">
        <f>$D$39*(1+Supuestos!$B$9)^(8-1)</f>
        <v>38078837.66</v>
      </c>
      <c r="D127" s="5">
        <f>IF(B127&lt;=Supuestos!$B$26,$D$38*(1+Supuestos!$B$9)^(8-1),0)</f>
        <v>0</v>
      </c>
      <c r="E127" s="5">
        <f t="shared" si="57"/>
        <v>38078837.66</v>
      </c>
      <c r="F127" s="5">
        <f>$D$43*(1+Supuestos!$B$9)^(8-1)*(1-Supuestos!$B$11)^(8-1)</f>
        <v>4218104.649</v>
      </c>
      <c r="G127" s="5">
        <f>$D$44*(1+Supuestos!$B$9)^(8-1)*(1-Supuestos!$B$12)^(8-1)</f>
        <v>5386308.094</v>
      </c>
      <c r="H127" s="5">
        <f>IF(8&lt;=Supuestos!$B$18,$D$42*$D$31*(1+Supuestos!$B$10)^(8-1)*(1-Supuestos!$B$11)^(8-1),0)</f>
        <v>2091534.323</v>
      </c>
      <c r="I127" s="5">
        <f>IF(8&lt;=Supuestos!$B$19,G127*$D$32,0)</f>
        <v>2693154.047</v>
      </c>
      <c r="J127" s="10">
        <f t="shared" si="58"/>
        <v>4819724.373</v>
      </c>
      <c r="K127" s="5">
        <f t="shared" si="59"/>
        <v>33715233.42</v>
      </c>
      <c r="L127" s="8">
        <f t="shared" si="60"/>
        <v>0.1265722556</v>
      </c>
      <c r="M127" s="5">
        <f>IF(8&lt;=Supuestos!$B$18,H127-Supuestos!$B$22*$D$26*(1+Supuestos!$B$9)^(8-1),0)</f>
        <v>1725365.284</v>
      </c>
      <c r="N127" s="5">
        <f>IF(8&lt;=Supuestos!$B$19,I127-Supuestos!$B$23*$D$29*(1+Supuestos!$B$9)^(8-1),0)</f>
        <v>1858349.508</v>
      </c>
      <c r="O127" s="5">
        <f t="shared" ref="O127:P127" si="67">O126+M127</f>
        <v>2366618.561</v>
      </c>
      <c r="P127" s="5">
        <f t="shared" si="67"/>
        <v>-2815891.862</v>
      </c>
    </row>
    <row r="128" ht="14.25" customHeight="1">
      <c r="B128" s="19">
        <f>Supuestos!$B$25+9-1</f>
        <v>2034</v>
      </c>
      <c r="C128" s="5">
        <f>$D$39*(1+Supuestos!$B$9)^(9-1)</f>
        <v>39982779.55</v>
      </c>
      <c r="D128" s="5">
        <f>IF(B128&lt;=Supuestos!$B$26,$D$38*(1+Supuestos!$B$9)^(9-1),0)</f>
        <v>0</v>
      </c>
      <c r="E128" s="5">
        <f t="shared" si="57"/>
        <v>39982779.55</v>
      </c>
      <c r="F128" s="5">
        <f>$D$43*(1+Supuestos!$B$9)^(9-1)*(1-Supuestos!$B$11)^(9-1)</f>
        <v>4406864.832</v>
      </c>
      <c r="G128" s="5">
        <f>$D$44*(1+Supuestos!$B$9)^(9-1)*(1-Supuestos!$B$12)^(9-1)</f>
        <v>5584928.205</v>
      </c>
      <c r="H128" s="5">
        <f>IF(9&lt;=Supuestos!$B$18,$D$42*$D$31*(1+Supuestos!$B$10)^(9-1)*(1-Supuestos!$B$11)^(9-1),0)</f>
        <v>2185130.484</v>
      </c>
      <c r="I128" s="5">
        <f>IF(9&lt;=Supuestos!$B$19,G128*$D$32,0)</f>
        <v>2792464.103</v>
      </c>
      <c r="J128" s="10">
        <f t="shared" si="58"/>
        <v>5014198.451</v>
      </c>
      <c r="K128" s="5">
        <f t="shared" si="59"/>
        <v>38729431.87</v>
      </c>
      <c r="L128" s="8">
        <f t="shared" si="60"/>
        <v>0.1254089512</v>
      </c>
      <c r="M128" s="5">
        <f>IF(9&lt;=Supuestos!$B$18,H128-Supuestos!$B$22*$D$26*(1+Supuestos!$B$9)^(9-1),0)</f>
        <v>1800652.993</v>
      </c>
      <c r="N128" s="5">
        <f>IF(9&lt;=Supuestos!$B$19,I128-Supuestos!$B$23*$D$29*(1+Supuestos!$B$9)^(9-1),0)</f>
        <v>1915919.337</v>
      </c>
      <c r="O128" s="5">
        <f t="shared" ref="O128:P128" si="68">O127+M128</f>
        <v>4167271.553</v>
      </c>
      <c r="P128" s="5">
        <f t="shared" si="68"/>
        <v>-899972.5247</v>
      </c>
    </row>
    <row r="129" ht="14.25" customHeight="1">
      <c r="B129" s="19">
        <f>Supuestos!$B$25+10-1</f>
        <v>2035</v>
      </c>
      <c r="C129" s="5">
        <f>$D$39*(1+Supuestos!$B$9)^(10-1)</f>
        <v>41981918.52</v>
      </c>
      <c r="D129" s="5">
        <f>IF(B129&lt;=Supuestos!$B$26,$D$38*(1+Supuestos!$B$9)^(10-1),0)</f>
        <v>0</v>
      </c>
      <c r="E129" s="5">
        <f t="shared" si="57"/>
        <v>41981918.52</v>
      </c>
      <c r="F129" s="5">
        <f>$D$43*(1+Supuestos!$B$9)^(10-1)*(1-Supuestos!$B$11)^(10-1)</f>
        <v>4604072.033</v>
      </c>
      <c r="G129" s="5">
        <f>$D$44*(1+Supuestos!$B$9)^(10-1)*(1-Supuestos!$B$12)^(10-1)</f>
        <v>5790872.433</v>
      </c>
      <c r="H129" s="5">
        <f>IF(10&lt;=Supuestos!$B$18,$D$42*$D$31*(1+Supuestos!$B$10)^(10-1)*(1-Supuestos!$B$11)^(10-1),0)</f>
        <v>2282915.073</v>
      </c>
      <c r="I129" s="5">
        <f>IF(10&lt;=Supuestos!$B$19,G129*$D$32,0)</f>
        <v>2895436.216</v>
      </c>
      <c r="J129" s="10">
        <f t="shared" si="58"/>
        <v>5216593.176</v>
      </c>
      <c r="K129" s="5">
        <f t="shared" si="59"/>
        <v>43946025.05</v>
      </c>
      <c r="L129" s="8">
        <f t="shared" si="60"/>
        <v>0.124258094</v>
      </c>
      <c r="M129" s="5">
        <f>IF(10&lt;=Supuestos!$B$18,H129-Supuestos!$B$22*$D$26*(1+Supuestos!$B$9)^(10-1),0)</f>
        <v>1879213.707</v>
      </c>
      <c r="N129" s="5">
        <f>IF(10&lt;=Supuestos!$B$19,I129-Supuestos!$B$23*$D$29*(1+Supuestos!$B$9)^(10-1),0)</f>
        <v>1975064.213</v>
      </c>
      <c r="O129" s="5">
        <f t="shared" ref="O129:P129" si="69">O128+M129</f>
        <v>6046485.26</v>
      </c>
      <c r="P129" s="5">
        <f t="shared" si="69"/>
        <v>1075091.688</v>
      </c>
    </row>
    <row r="130" ht="14.25" customHeight="1">
      <c r="B130" s="19">
        <f>Supuestos!$B$25+11-1</f>
        <v>2036</v>
      </c>
      <c r="C130" s="5">
        <f>$D$39*(1+Supuestos!$B$9)^(11-1)</f>
        <v>44081014.45</v>
      </c>
      <c r="D130" s="5">
        <f>IF(B130&lt;=Supuestos!$B$26,$D$38*(1+Supuestos!$B$9)^(11-1),0)</f>
        <v>0</v>
      </c>
      <c r="E130" s="5">
        <f t="shared" si="57"/>
        <v>44081014.45</v>
      </c>
      <c r="F130" s="5">
        <f>$D$43*(1+Supuestos!$B$9)^(11-1)*(1-Supuestos!$B$11)^(11-1)</f>
        <v>4810104.257</v>
      </c>
      <c r="G130" s="5">
        <f>$D$44*(1+Supuestos!$B$9)^(11-1)*(1-Supuestos!$B$12)^(11-1)</f>
        <v>6004410.854</v>
      </c>
      <c r="H130" s="5">
        <f>IF(11&lt;=Supuestos!$B$18,$D$42*$D$31*(1+Supuestos!$B$10)^(11-1)*(1-Supuestos!$B$11)^(11-1),0)</f>
        <v>2385075.523</v>
      </c>
      <c r="I130" s="5">
        <f>IF(11&lt;=Supuestos!$B$19,G130*$D$32,0)</f>
        <v>3002205.427</v>
      </c>
      <c r="J130" s="10">
        <f t="shared" si="58"/>
        <v>5427234.161</v>
      </c>
      <c r="K130" s="5">
        <f t="shared" si="59"/>
        <v>49373259.21</v>
      </c>
      <c r="L130" s="8">
        <f t="shared" si="60"/>
        <v>0.1231195386</v>
      </c>
      <c r="M130" s="5">
        <f>IF(11&lt;=Supuestos!$B$18,H130-Supuestos!$B$22*$D$26*(1+Supuestos!$B$9)^(11-1),0)</f>
        <v>1961189.088</v>
      </c>
      <c r="N130" s="5">
        <f>IF(11&lt;=Supuestos!$B$19,I130-Supuestos!$B$23*$D$29*(1+Supuestos!$B$9)^(11-1),0)</f>
        <v>2035814.823</v>
      </c>
      <c r="O130" s="5">
        <f t="shared" ref="O130:P130" si="70">O129+M130</f>
        <v>8007674.349</v>
      </c>
      <c r="P130" s="5">
        <f t="shared" si="70"/>
        <v>3110906.511</v>
      </c>
    </row>
    <row r="131" ht="14.25" customHeight="1">
      <c r="B131" s="19">
        <f>Supuestos!$B$25+12-1</f>
        <v>2037</v>
      </c>
      <c r="C131" s="5">
        <f>$D$39*(1+Supuestos!$B$9)^(12-1)</f>
        <v>46285065.17</v>
      </c>
      <c r="D131" s="5">
        <f>IF(B131&lt;=Supuestos!$B$26,$D$38*(1+Supuestos!$B$9)^(12-1),0)</f>
        <v>0</v>
      </c>
      <c r="E131" s="5">
        <f t="shared" si="57"/>
        <v>46285065.17</v>
      </c>
      <c r="F131" s="5">
        <f>$D$43*(1+Supuestos!$B$9)^(12-1)*(1-Supuestos!$B$11)^(12-1)</f>
        <v>5025356.422</v>
      </c>
      <c r="G131" s="5">
        <f>$D$44*(1+Supuestos!$B$9)^(12-1)*(1-Supuestos!$B$12)^(12-1)</f>
        <v>6225823.504</v>
      </c>
      <c r="H131" s="5">
        <f>IF(12&lt;=Supuestos!$B$18,$D$42*$D$31*(1+Supuestos!$B$10)^(12-1)*(1-Supuestos!$B$11)^(12-1),0)</f>
        <v>2491807.652</v>
      </c>
      <c r="I131" s="5">
        <f>IF(12&lt;=Supuestos!$B$19,G131*$D$32,0)</f>
        <v>3112911.752</v>
      </c>
      <c r="J131" s="10">
        <f t="shared" si="58"/>
        <v>5646460.522</v>
      </c>
      <c r="K131" s="5">
        <f t="shared" si="59"/>
        <v>55019719.73</v>
      </c>
      <c r="L131" s="8">
        <f t="shared" si="60"/>
        <v>0.1219931419</v>
      </c>
      <c r="M131" s="5">
        <f>IF(12&lt;=Supuestos!$B$18,H131-Supuestos!$B$22*$D$26*(1+Supuestos!$B$9)^(12-1),0)</f>
        <v>2046726.896</v>
      </c>
      <c r="N131" s="5">
        <f>IF(12&lt;=Supuestos!$B$19,I131-Supuestos!$B$23*$D$29*(1+Supuestos!$B$9)^(12-1),0)</f>
        <v>2098201.618</v>
      </c>
      <c r="O131" s="5">
        <f t="shared" ref="O131:P131" si="71">O130+M131</f>
        <v>10054401.25</v>
      </c>
      <c r="P131" s="5">
        <f t="shared" si="71"/>
        <v>5209108.128</v>
      </c>
    </row>
    <row r="132" ht="14.25" customHeight="1">
      <c r="B132" s="19">
        <f>Supuestos!$B$25+13-1</f>
        <v>2038</v>
      </c>
      <c r="C132" s="5">
        <f>$D$39*(1+Supuestos!$B$9)^(13-1)</f>
        <v>48599318.43</v>
      </c>
      <c r="D132" s="5">
        <f>IF(B132&lt;=Supuestos!$B$26,$D$38*(1+Supuestos!$B$9)^(13-1),0)</f>
        <v>0</v>
      </c>
      <c r="E132" s="5">
        <f t="shared" si="57"/>
        <v>48599318.43</v>
      </c>
      <c r="F132" s="5">
        <f>$D$43*(1+Supuestos!$B$9)^(13-1)*(1-Supuestos!$B$11)^(13-1)</f>
        <v>5250241.122</v>
      </c>
      <c r="G132" s="5">
        <f>$D$44*(1+Supuestos!$B$9)^(13-1)*(1-Supuestos!$B$12)^(13-1)</f>
        <v>6455400.746</v>
      </c>
      <c r="H132" s="5">
        <f>IF(13&lt;=Supuestos!$B$18,$D$42*$D$31*(1+Supuestos!$B$10)^(13-1)*(1-Supuestos!$B$11)^(13-1),0)</f>
        <v>2603316.045</v>
      </c>
      <c r="I132" s="5">
        <f>IF(13&lt;=Supuestos!$B$19,G132*$D$32,0)</f>
        <v>3227700.373</v>
      </c>
      <c r="J132" s="10">
        <f t="shared" si="58"/>
        <v>5874625.45</v>
      </c>
      <c r="K132" s="5">
        <f t="shared" si="59"/>
        <v>60894345.18</v>
      </c>
      <c r="L132" s="8">
        <f t="shared" si="60"/>
        <v>0.1208787621</v>
      </c>
      <c r="M132" s="5">
        <f>IF(13&lt;=Supuestos!$B$18,H132-Supuestos!$B$22*$D$26*(1+Supuestos!$B$9)^(13-1),0)</f>
        <v>2135981.251</v>
      </c>
      <c r="N132" s="5">
        <f>IF(13&lt;=Supuestos!$B$19,I132-Supuestos!$B$23*$D$29*(1+Supuestos!$B$9)^(13-1),0)</f>
        <v>2162254.732</v>
      </c>
      <c r="O132" s="5">
        <f t="shared" ref="O132:P132" si="72">O131+M132</f>
        <v>12190382.5</v>
      </c>
      <c r="P132" s="5">
        <f t="shared" si="72"/>
        <v>7371362.86</v>
      </c>
    </row>
    <row r="133" ht="14.25" customHeight="1">
      <c r="B133" s="19">
        <f>Supuestos!$B$25+14-1</f>
        <v>2039</v>
      </c>
      <c r="C133" s="5">
        <f>$D$39*(1+Supuestos!$B$9)^(14-1)</f>
        <v>51029284.35</v>
      </c>
      <c r="D133" s="5">
        <f>IF(B133&lt;=Supuestos!$B$26,$D$38*(1+Supuestos!$B$9)^(14-1),0)</f>
        <v>0</v>
      </c>
      <c r="E133" s="5">
        <f t="shared" si="57"/>
        <v>51029284.35</v>
      </c>
      <c r="F133" s="5">
        <f>$D$43*(1+Supuestos!$B$9)^(14-1)*(1-Supuestos!$B$11)^(14-1)</f>
        <v>5485189.412</v>
      </c>
      <c r="G133" s="5">
        <f>$D$44*(1+Supuestos!$B$9)^(14-1)*(1-Supuestos!$B$12)^(14-1)</f>
        <v>6693443.648</v>
      </c>
      <c r="H133" s="5">
        <f>IF(14&lt;=Supuestos!$B$18,$D$42*$D$31*(1+Supuestos!$B$10)^(14-1)*(1-Supuestos!$B$11)^(14-1),0)</f>
        <v>2719814.438</v>
      </c>
      <c r="I133" s="5">
        <f>IF(14&lt;=Supuestos!$B$19,G133*$D$32,0)</f>
        <v>3346721.824</v>
      </c>
      <c r="J133" s="10">
        <f t="shared" si="58"/>
        <v>6112096.799</v>
      </c>
      <c r="K133" s="5">
        <f t="shared" si="59"/>
        <v>67006441.98</v>
      </c>
      <c r="L133" s="8">
        <f t="shared" si="60"/>
        <v>0.1197762594</v>
      </c>
      <c r="M133" s="5">
        <f>IF(14&lt;=Supuestos!$B$18,H133-Supuestos!$B$22*$D$26*(1+Supuestos!$B$9)^(14-1),0)</f>
        <v>2229112.904</v>
      </c>
      <c r="N133" s="5">
        <f>IF(14&lt;=Supuestos!$B$19,I133-Supuestos!$B$23*$D$29*(1+Supuestos!$B$9)^(14-1),0)</f>
        <v>2228003.901</v>
      </c>
      <c r="O133" s="5">
        <f t="shared" ref="O133:P133" si="73">O132+M133</f>
        <v>14419495.4</v>
      </c>
      <c r="P133" s="5">
        <f t="shared" si="73"/>
        <v>9599366.761</v>
      </c>
    </row>
    <row r="134" ht="14.25" customHeight="1">
      <c r="B134" s="19">
        <f>Supuestos!$B$25+15-1</f>
        <v>2040</v>
      </c>
      <c r="C134" s="5">
        <f>$D$39*(1+Supuestos!$B$9)^(15-1)</f>
        <v>53580748.57</v>
      </c>
      <c r="D134" s="5">
        <f>IF(B134&lt;=Supuestos!$B$26,$D$38*(1+Supuestos!$B$9)^(15-1),0)</f>
        <v>0</v>
      </c>
      <c r="E134" s="5">
        <f t="shared" si="57"/>
        <v>53580748.57</v>
      </c>
      <c r="F134" s="5">
        <f>$D$43*(1+Supuestos!$B$9)^(15-1)*(1-Supuestos!$B$11)^(15-1)</f>
        <v>5730651.638</v>
      </c>
      <c r="G134" s="5">
        <f>$D$44*(1+Supuestos!$B$9)^(15-1)*(1-Supuestos!$B$12)^(15-1)</f>
        <v>6940264.383</v>
      </c>
      <c r="H134" s="5">
        <f>IF(15&lt;=Supuestos!$B$18,$D$42*$D$31*(1+Supuestos!$B$10)^(15-1)*(1-Supuestos!$B$11)^(15-1),0)</f>
        <v>2841526.134</v>
      </c>
      <c r="I134" s="5">
        <f>IF(15&lt;=Supuestos!$B$19,G134*$D$32,0)</f>
        <v>3470132.191</v>
      </c>
      <c r="J134" s="10">
        <f t="shared" si="58"/>
        <v>6359257.696</v>
      </c>
      <c r="K134" s="5">
        <f t="shared" si="59"/>
        <v>73365699.68</v>
      </c>
      <c r="L134" s="8">
        <f t="shared" si="60"/>
        <v>0.1186854956</v>
      </c>
      <c r="M134" s="5">
        <f>IF(15&lt;=Supuestos!$B$18,H134-Supuestos!$B$22*$D$26*(1+Supuestos!$B$9)^(15-1),0)</f>
        <v>2326289.524</v>
      </c>
      <c r="N134" s="5">
        <f>IF(15&lt;=Supuestos!$B$19,I134-Supuestos!$B$23*$D$29*(1+Supuestos!$B$9)^(15-1),0)</f>
        <v>2295478.372</v>
      </c>
      <c r="O134" s="5">
        <f t="shared" ref="O134:P134" si="74">O133+M134</f>
        <v>16745784.92</v>
      </c>
      <c r="P134" s="5">
        <f t="shared" si="74"/>
        <v>11894845.13</v>
      </c>
    </row>
    <row r="135" ht="14.25" customHeight="1">
      <c r="B135" s="19">
        <f>Supuestos!$B$25+16-1</f>
        <v>2041</v>
      </c>
      <c r="C135" s="5">
        <f>$D$39*(1+Supuestos!$B$9)^(16-1)</f>
        <v>56259786</v>
      </c>
      <c r="D135" s="5">
        <f>IF(B135&lt;=Supuestos!$B$26,$D$38*(1+Supuestos!$B$9)^(16-1),0)</f>
        <v>0</v>
      </c>
      <c r="E135" s="5">
        <f t="shared" si="57"/>
        <v>56259786</v>
      </c>
      <c r="F135" s="5">
        <f>$D$43*(1+Supuestos!$B$9)^(16-1)*(1-Supuestos!$B$11)^(16-1)</f>
        <v>5987098.299</v>
      </c>
      <c r="G135" s="5">
        <f>$D$44*(1+Supuestos!$B$9)^(16-1)*(1-Supuestos!$B$12)^(16-1)</f>
        <v>7196186.632</v>
      </c>
      <c r="H135" s="5">
        <f>IF(16&lt;=Supuestos!$B$18,$D$42*$D$31*(1+Supuestos!$B$10)^(16-1)*(1-Supuestos!$B$11)^(16-1),0)</f>
        <v>0</v>
      </c>
      <c r="I135" s="5">
        <f>IF(16&lt;=Supuestos!$B$19,G135*$D$32,0)</f>
        <v>0</v>
      </c>
      <c r="J135" s="10">
        <f t="shared" si="58"/>
        <v>13183284.93</v>
      </c>
      <c r="K135" s="5">
        <f t="shared" si="59"/>
        <v>86548984.61</v>
      </c>
      <c r="L135" s="8">
        <f t="shared" si="60"/>
        <v>0.2343287429</v>
      </c>
      <c r="M135" s="5">
        <f>IF(16&lt;=Supuestos!$B$18,H135-Supuestos!$B$22*$D$26*(1+Supuestos!$B$9)^(16-1),0)</f>
        <v>0</v>
      </c>
      <c r="N135" s="5">
        <f>IF(16&lt;=Supuestos!$B$19,I135-Supuestos!$B$23*$D$29*(1+Supuestos!$B$9)^(16-1),0)</f>
        <v>0</v>
      </c>
      <c r="O135" s="5">
        <f t="shared" ref="O135:P135" si="75">O134+M135</f>
        <v>16745784.92</v>
      </c>
      <c r="P135" s="5">
        <f t="shared" si="75"/>
        <v>11894845.13</v>
      </c>
    </row>
    <row r="136" ht="14.25" customHeight="1">
      <c r="B136" s="19">
        <f>Supuestos!$B$25+17-1</f>
        <v>2042</v>
      </c>
      <c r="C136" s="5">
        <f>$D$39*(1+Supuestos!$B$9)^(17-1)</f>
        <v>59072775.3</v>
      </c>
      <c r="D136" s="5">
        <f>IF(B136&lt;=Supuestos!$B$26,$D$38*(1+Supuestos!$B$9)^(17-1),0)</f>
        <v>0</v>
      </c>
      <c r="E136" s="5">
        <f t="shared" si="57"/>
        <v>59072775.3</v>
      </c>
      <c r="F136" s="5">
        <f>$D$43*(1+Supuestos!$B$9)^(17-1)*(1-Supuestos!$B$11)^(17-1)</f>
        <v>6255020.948</v>
      </c>
      <c r="G136" s="5">
        <f>$D$44*(1+Supuestos!$B$9)^(17-1)*(1-Supuestos!$B$12)^(17-1)</f>
        <v>7461546.014</v>
      </c>
      <c r="H136" s="5">
        <f>IF(17&lt;=Supuestos!$B$18,$D$42*$D$31*(1+Supuestos!$B$10)^(17-1)*(1-Supuestos!$B$11)^(17-1),0)</f>
        <v>0</v>
      </c>
      <c r="I136" s="5">
        <f>IF(17&lt;=Supuestos!$B$19,G136*$D$32,0)</f>
        <v>0</v>
      </c>
      <c r="J136" s="10">
        <f t="shared" si="58"/>
        <v>13716566.96</v>
      </c>
      <c r="K136" s="5">
        <f t="shared" si="59"/>
        <v>100265551.6</v>
      </c>
      <c r="L136" s="8">
        <f t="shared" si="60"/>
        <v>0.2321977746</v>
      </c>
      <c r="M136" s="5">
        <f>IF(17&lt;=Supuestos!$B$18,H136-Supuestos!$B$22*$D$26*(1+Supuestos!$B$9)^(17-1),0)</f>
        <v>0</v>
      </c>
      <c r="N136" s="5">
        <f>IF(17&lt;=Supuestos!$B$19,I136-Supuestos!$B$23*$D$29*(1+Supuestos!$B$9)^(17-1),0)</f>
        <v>0</v>
      </c>
      <c r="O136" s="5">
        <f t="shared" ref="O136:P136" si="76">O135+M136</f>
        <v>16745784.92</v>
      </c>
      <c r="P136" s="5">
        <f t="shared" si="76"/>
        <v>11894845.13</v>
      </c>
    </row>
    <row r="137" ht="14.25" customHeight="1">
      <c r="B137" s="19">
        <f>Supuestos!$B$25+18-1</f>
        <v>2043</v>
      </c>
      <c r="C137" s="5">
        <f>$D$39*(1+Supuestos!$B$9)^(18-1)</f>
        <v>62026414.06</v>
      </c>
      <c r="D137" s="5">
        <f>IF(B137&lt;=Supuestos!$B$26,$D$38*(1+Supuestos!$B$9)^(18-1),0)</f>
        <v>0</v>
      </c>
      <c r="E137" s="5">
        <f t="shared" si="57"/>
        <v>62026414.06</v>
      </c>
      <c r="F137" s="5">
        <f>$D$43*(1+Supuestos!$B$9)^(18-1)*(1-Supuestos!$B$11)^(18-1)</f>
        <v>6534933.136</v>
      </c>
      <c r="G137" s="5">
        <f>$D$44*(1+Supuestos!$B$9)^(18-1)*(1-Supuestos!$B$12)^(18-1)</f>
        <v>7736690.523</v>
      </c>
      <c r="H137" s="5">
        <f>IF(18&lt;=Supuestos!$B$18,$D$42*$D$31*(1+Supuestos!$B$10)^(18-1)*(1-Supuestos!$B$11)^(18-1),0)</f>
        <v>0</v>
      </c>
      <c r="I137" s="5">
        <f>IF(18&lt;=Supuestos!$B$19,G137*$D$32,0)</f>
        <v>0</v>
      </c>
      <c r="J137" s="10">
        <f t="shared" si="58"/>
        <v>14271623.66</v>
      </c>
      <c r="K137" s="5">
        <f t="shared" si="59"/>
        <v>114537175.2</v>
      </c>
      <c r="L137" s="8">
        <f t="shared" si="60"/>
        <v>0.2300894526</v>
      </c>
      <c r="M137" s="5">
        <f>IF(18&lt;=Supuestos!$B$18,H137-Supuestos!$B$22*$D$26*(1+Supuestos!$B$9)^(18-1),0)</f>
        <v>0</v>
      </c>
      <c r="N137" s="5">
        <f>IF(18&lt;=Supuestos!$B$19,I137-Supuestos!$B$23*$D$29*(1+Supuestos!$B$9)^(18-1),0)</f>
        <v>0</v>
      </c>
      <c r="O137" s="5">
        <f t="shared" ref="O137:P137" si="77">O136+M137</f>
        <v>16745784.92</v>
      </c>
      <c r="P137" s="5">
        <f t="shared" si="77"/>
        <v>11894845.13</v>
      </c>
    </row>
    <row r="138" ht="14.25" customHeight="1">
      <c r="B138" s="19">
        <f>Supuestos!$B$25+19-1</f>
        <v>2044</v>
      </c>
      <c r="C138" s="5">
        <f>$D$39*(1+Supuestos!$B$9)^(19-1)</f>
        <v>65127734.77</v>
      </c>
      <c r="D138" s="5">
        <f>IF(B138&lt;=Supuestos!$B$26,$D$38*(1+Supuestos!$B$9)^(19-1),0)</f>
        <v>0</v>
      </c>
      <c r="E138" s="5">
        <f t="shared" si="57"/>
        <v>65127734.77</v>
      </c>
      <c r="F138" s="5">
        <f>$D$43*(1+Supuestos!$B$9)^(19-1)*(1-Supuestos!$B$11)^(19-1)</f>
        <v>6827371.393</v>
      </c>
      <c r="G138" s="5">
        <f>$D$44*(1+Supuestos!$B$9)^(19-1)*(1-Supuestos!$B$12)^(19-1)</f>
        <v>8021980.986</v>
      </c>
      <c r="H138" s="5">
        <f>IF(19&lt;=Supuestos!$B$18,$D$42*$D$31*(1+Supuestos!$B$10)^(19-1)*(1-Supuestos!$B$11)^(19-1),0)</f>
        <v>0</v>
      </c>
      <c r="I138" s="5">
        <f>IF(19&lt;=Supuestos!$B$19,G138*$D$32,0)</f>
        <v>0</v>
      </c>
      <c r="J138" s="10">
        <f t="shared" si="58"/>
        <v>14849352.38</v>
      </c>
      <c r="K138" s="5">
        <f t="shared" si="59"/>
        <v>129386527.6</v>
      </c>
      <c r="L138" s="8">
        <f t="shared" si="60"/>
        <v>0.2280035139</v>
      </c>
      <c r="M138" s="5">
        <f>IF(19&lt;=Supuestos!$B$18,H138-Supuestos!$B$22*$D$26*(1+Supuestos!$B$9)^(19-1),0)</f>
        <v>0</v>
      </c>
      <c r="N138" s="5">
        <f>IF(19&lt;=Supuestos!$B$19,I138-Supuestos!$B$23*$D$29*(1+Supuestos!$B$9)^(19-1),0)</f>
        <v>0</v>
      </c>
      <c r="O138" s="5">
        <f t="shared" ref="O138:P138" si="78">O137+M138</f>
        <v>16745784.92</v>
      </c>
      <c r="P138" s="5">
        <f t="shared" si="78"/>
        <v>11894845.13</v>
      </c>
    </row>
    <row r="139" ht="14.25" customHeight="1">
      <c r="B139" s="19">
        <f>Supuestos!$B$25+20-1</f>
        <v>2045</v>
      </c>
      <c r="C139" s="5">
        <f>$D$39*(1+Supuestos!$B$9)^(20-1)</f>
        <v>68384121.5</v>
      </c>
      <c r="D139" s="5">
        <f>IF(B139&lt;=Supuestos!$B$26,$D$38*(1+Supuestos!$B$9)^(20-1),0)</f>
        <v>0</v>
      </c>
      <c r="E139" s="5">
        <f t="shared" si="57"/>
        <v>68384121.5</v>
      </c>
      <c r="F139" s="5">
        <f>$D$43*(1+Supuestos!$B$9)^(20-1)*(1-Supuestos!$B$11)^(20-1)</f>
        <v>7132896.263</v>
      </c>
      <c r="G139" s="5">
        <f>$D$44*(1+Supuestos!$B$9)^(20-1)*(1-Supuestos!$B$12)^(20-1)</f>
        <v>8317791.535</v>
      </c>
      <c r="H139" s="5">
        <f>IF(20&lt;=Supuestos!$B$18,$D$42*$D$31*(1+Supuestos!$B$10)^(20-1)*(1-Supuestos!$B$11)^(20-1),0)</f>
        <v>0</v>
      </c>
      <c r="I139" s="5">
        <f>IF(20&lt;=Supuestos!$B$19,G139*$D$32,0)</f>
        <v>0</v>
      </c>
      <c r="J139" s="10">
        <f t="shared" si="58"/>
        <v>15450687.8</v>
      </c>
      <c r="K139" s="5">
        <f t="shared" si="59"/>
        <v>144837215.4</v>
      </c>
      <c r="L139" s="8">
        <f t="shared" si="60"/>
        <v>0.2259396986</v>
      </c>
      <c r="M139" s="5">
        <f>IF(20&lt;=Supuestos!$B$18,H139-Supuestos!$B$22*$D$26*(1+Supuestos!$B$9)^(20-1),0)</f>
        <v>0</v>
      </c>
      <c r="N139" s="5">
        <f>IF(20&lt;=Supuestos!$B$19,I139-Supuestos!$B$23*$D$29*(1+Supuestos!$B$9)^(20-1),0)</f>
        <v>0</v>
      </c>
      <c r="O139" s="5">
        <f t="shared" ref="O139:P139" si="79">O138+M139</f>
        <v>16745784.92</v>
      </c>
      <c r="P139" s="5">
        <f t="shared" si="79"/>
        <v>11894845.13</v>
      </c>
    </row>
    <row r="140" ht="14.25" customHeight="1"/>
    <row r="141" ht="14.25" customHeight="1"/>
    <row r="142" ht="14.25" customHeight="1"/>
    <row r="143" ht="14.25" customHeight="1">
      <c r="A143" s="1" t="s">
        <v>201</v>
      </c>
    </row>
    <row r="144" ht="14.25" customHeight="1"/>
    <row r="145" ht="14.25" customHeight="1">
      <c r="B145" s="18" t="s">
        <v>202</v>
      </c>
      <c r="C145" s="18" t="s">
        <v>203</v>
      </c>
      <c r="D145" s="18" t="s">
        <v>204</v>
      </c>
      <c r="E145" s="18" t="s">
        <v>205</v>
      </c>
      <c r="F145" s="18" t="s">
        <v>206</v>
      </c>
      <c r="G145" s="18" t="s">
        <v>207</v>
      </c>
    </row>
    <row r="146" ht="14.25" customHeight="1">
      <c r="A146" s="4" t="s">
        <v>208</v>
      </c>
      <c r="B146" s="4">
        <v>0.0</v>
      </c>
      <c r="C146" s="5">
        <f>$N$19-C43</f>
        <v>21422704.58</v>
      </c>
      <c r="D146" s="5">
        <f t="shared" ref="D146:E146" si="80">C146-C147</f>
        <v>15783490.15</v>
      </c>
      <c r="E146" s="5">
        <f t="shared" si="80"/>
        <v>11603200.57</v>
      </c>
      <c r="F146" s="5">
        <f>E146</f>
        <v>11603200.57</v>
      </c>
      <c r="G146" s="5">
        <v>0.0</v>
      </c>
    </row>
    <row r="147" ht="14.25" customHeight="1">
      <c r="A147" s="4" t="s">
        <v>209</v>
      </c>
      <c r="B147" s="5">
        <f>$N$19</f>
        <v>27061919</v>
      </c>
      <c r="C147" s="5">
        <f>C43</f>
        <v>5639214.424</v>
      </c>
      <c r="D147" s="5">
        <f>C44</f>
        <v>4180289.581</v>
      </c>
      <c r="E147" s="5">
        <f>C46</f>
        <v>2967232.095</v>
      </c>
      <c r="F147" s="5">
        <f>C47</f>
        <v>2090144.79</v>
      </c>
      <c r="G147" s="5">
        <f>B147+C147+D147-E147-F147</f>
        <v>31824046.12</v>
      </c>
    </row>
    <row r="148" ht="14.25" customHeight="1"/>
    <row r="149" ht="14.25" customHeight="1"/>
    <row r="150" ht="14.25" customHeight="1">
      <c r="A150" s="1" t="s">
        <v>235</v>
      </c>
    </row>
    <row r="151" ht="14.25" customHeight="1">
      <c r="A151" s="2" t="s">
        <v>211</v>
      </c>
      <c r="B151" s="2" t="s">
        <v>212</v>
      </c>
      <c r="C151" s="2" t="s">
        <v>213</v>
      </c>
      <c r="D151" s="2" t="s">
        <v>214</v>
      </c>
      <c r="E151" s="2" t="s">
        <v>215</v>
      </c>
      <c r="F151" s="2" t="s">
        <v>216</v>
      </c>
      <c r="G151" s="2" t="s">
        <v>217</v>
      </c>
      <c r="H151" s="2" t="s">
        <v>218</v>
      </c>
    </row>
    <row r="152" ht="14.25" customHeight="1">
      <c r="A152" s="19">
        <v>0.0</v>
      </c>
      <c r="B152" s="4" t="s">
        <v>219</v>
      </c>
      <c r="C152" s="5">
        <v>789.7</v>
      </c>
      <c r="D152" s="5">
        <v>0.0</v>
      </c>
      <c r="E152" s="5">
        <f t="shared" ref="E152:E175" si="81">C152-D152</f>
        <v>789.7</v>
      </c>
      <c r="F152" s="5">
        <v>-538.2</v>
      </c>
      <c r="G152" s="5">
        <v>0.0</v>
      </c>
      <c r="H152" s="5">
        <f t="shared" ref="H152:H175" si="82">E152-F152-G152</f>
        <v>1327.9</v>
      </c>
    </row>
    <row r="153" ht="14.25" customHeight="1">
      <c r="A153" s="19">
        <v>1.0</v>
      </c>
      <c r="B153" s="4" t="s">
        <v>219</v>
      </c>
      <c r="C153" s="5">
        <v>789.7</v>
      </c>
      <c r="D153" s="5">
        <v>0.0</v>
      </c>
      <c r="E153" s="5">
        <f t="shared" si="81"/>
        <v>789.7</v>
      </c>
      <c r="F153" s="5">
        <v>-538.2</v>
      </c>
      <c r="G153" s="5">
        <v>0.0</v>
      </c>
      <c r="H153" s="5">
        <f t="shared" si="82"/>
        <v>1327.9</v>
      </c>
    </row>
    <row r="154" ht="14.25" customHeight="1">
      <c r="A154" s="19">
        <v>2.0</v>
      </c>
      <c r="B154" s="4" t="s">
        <v>219</v>
      </c>
      <c r="C154" s="5">
        <v>789.7</v>
      </c>
      <c r="D154" s="5">
        <v>0.0</v>
      </c>
      <c r="E154" s="5">
        <f t="shared" si="81"/>
        <v>789.7</v>
      </c>
      <c r="F154" s="5">
        <v>-538.2</v>
      </c>
      <c r="G154" s="5">
        <v>0.0</v>
      </c>
      <c r="H154" s="5">
        <f t="shared" si="82"/>
        <v>1327.9</v>
      </c>
    </row>
    <row r="155" ht="14.25" customHeight="1">
      <c r="A155" s="19">
        <v>3.0</v>
      </c>
      <c r="B155" s="4" t="s">
        <v>219</v>
      </c>
      <c r="C155" s="5">
        <v>799.0</v>
      </c>
      <c r="D155" s="5">
        <v>0.0</v>
      </c>
      <c r="E155" s="5">
        <f t="shared" si="81"/>
        <v>799</v>
      </c>
      <c r="F155" s="5">
        <v>-538.2</v>
      </c>
      <c r="G155" s="5">
        <v>0.0</v>
      </c>
      <c r="H155" s="5">
        <f t="shared" si="82"/>
        <v>1337.2</v>
      </c>
    </row>
    <row r="156" ht="14.25" customHeight="1">
      <c r="A156" s="19">
        <v>4.0</v>
      </c>
      <c r="B156" s="4" t="s">
        <v>219</v>
      </c>
      <c r="C156" s="5">
        <v>817.6</v>
      </c>
      <c r="D156" s="5">
        <v>0.0</v>
      </c>
      <c r="E156" s="5">
        <f t="shared" si="81"/>
        <v>817.6</v>
      </c>
      <c r="F156" s="5">
        <v>-538.2</v>
      </c>
      <c r="G156" s="5">
        <v>0.0</v>
      </c>
      <c r="H156" s="5">
        <f t="shared" si="82"/>
        <v>1355.8</v>
      </c>
    </row>
    <row r="157" ht="14.25" customHeight="1">
      <c r="A157" s="19">
        <v>5.0</v>
      </c>
      <c r="B157" s="4" t="s">
        <v>219</v>
      </c>
      <c r="C157" s="5">
        <v>854.8</v>
      </c>
      <c r="D157" s="5">
        <v>0.0</v>
      </c>
      <c r="E157" s="5">
        <f t="shared" si="81"/>
        <v>854.8</v>
      </c>
      <c r="F157" s="5">
        <v>-538.2</v>
      </c>
      <c r="G157" s="5">
        <v>0.0</v>
      </c>
      <c r="H157" s="5">
        <f t="shared" si="82"/>
        <v>1393</v>
      </c>
    </row>
    <row r="158" ht="14.25" customHeight="1">
      <c r="A158" s="19">
        <v>6.0</v>
      </c>
      <c r="B158" s="4" t="s">
        <v>220</v>
      </c>
      <c r="C158" s="5">
        <v>910.5</v>
      </c>
      <c r="D158" s="5">
        <v>0.0</v>
      </c>
      <c r="E158" s="5">
        <f t="shared" si="81"/>
        <v>910.5</v>
      </c>
      <c r="F158" s="5">
        <v>0.0</v>
      </c>
      <c r="G158" s="5">
        <v>0.0</v>
      </c>
      <c r="H158" s="5">
        <f t="shared" si="82"/>
        <v>910.5</v>
      </c>
    </row>
    <row r="159" ht="14.25" customHeight="1">
      <c r="A159" s="19">
        <v>7.0</v>
      </c>
      <c r="B159" s="4" t="s">
        <v>220</v>
      </c>
      <c r="C159" s="5">
        <v>975.5</v>
      </c>
      <c r="D159" s="5">
        <v>134.4</v>
      </c>
      <c r="E159" s="5">
        <f t="shared" si="81"/>
        <v>841.1</v>
      </c>
      <c r="F159" s="5">
        <v>0.0</v>
      </c>
      <c r="G159" s="5">
        <v>0.0</v>
      </c>
      <c r="H159" s="5">
        <f t="shared" si="82"/>
        <v>841.1</v>
      </c>
    </row>
    <row r="160" ht="14.25" customHeight="1">
      <c r="A160" s="19">
        <v>8.0</v>
      </c>
      <c r="B160" s="4" t="s">
        <v>220</v>
      </c>
      <c r="C160" s="5">
        <v>1040.6</v>
      </c>
      <c r="D160" s="5">
        <v>260.3</v>
      </c>
      <c r="E160" s="5">
        <f t="shared" si="81"/>
        <v>780.3</v>
      </c>
      <c r="F160" s="5">
        <v>0.0</v>
      </c>
      <c r="G160" s="5">
        <v>0.0</v>
      </c>
      <c r="H160" s="5">
        <f t="shared" si="82"/>
        <v>780.3</v>
      </c>
    </row>
    <row r="161" ht="14.25" customHeight="1">
      <c r="A161" s="19">
        <v>9.0</v>
      </c>
      <c r="B161" s="4" t="s">
        <v>220</v>
      </c>
      <c r="C161" s="5">
        <v>1068.5</v>
      </c>
      <c r="D161" s="5">
        <v>369.9</v>
      </c>
      <c r="E161" s="5">
        <f t="shared" si="81"/>
        <v>698.6</v>
      </c>
      <c r="F161" s="5">
        <v>0.0</v>
      </c>
      <c r="G161" s="5">
        <v>0.0</v>
      </c>
      <c r="H161" s="5">
        <f t="shared" si="82"/>
        <v>698.6</v>
      </c>
    </row>
    <row r="162" ht="14.25" customHeight="1">
      <c r="A162" s="19">
        <v>10.0</v>
      </c>
      <c r="B162" s="4" t="s">
        <v>220</v>
      </c>
      <c r="C162" s="5">
        <v>1077.7</v>
      </c>
      <c r="D162" s="5">
        <v>456.2</v>
      </c>
      <c r="E162" s="5">
        <f t="shared" si="81"/>
        <v>621.5</v>
      </c>
      <c r="F162" s="5">
        <v>0.0</v>
      </c>
      <c r="G162" s="5">
        <v>0.0</v>
      </c>
      <c r="H162" s="5">
        <f t="shared" si="82"/>
        <v>621.5</v>
      </c>
    </row>
    <row r="163" ht="14.25" customHeight="1">
      <c r="A163" s="19">
        <v>11.0</v>
      </c>
      <c r="B163" s="4" t="s">
        <v>220</v>
      </c>
      <c r="C163" s="5">
        <v>1077.7</v>
      </c>
      <c r="D163" s="5">
        <v>513.8</v>
      </c>
      <c r="E163" s="5">
        <f t="shared" si="81"/>
        <v>563.9</v>
      </c>
      <c r="F163" s="5">
        <v>0.0</v>
      </c>
      <c r="G163" s="5">
        <v>0.0</v>
      </c>
      <c r="H163" s="5">
        <f t="shared" si="82"/>
        <v>563.9</v>
      </c>
    </row>
    <row r="164" ht="14.25" customHeight="1">
      <c r="A164" s="19">
        <v>12.0</v>
      </c>
      <c r="B164" s="4" t="s">
        <v>220</v>
      </c>
      <c r="C164" s="5">
        <v>1077.7</v>
      </c>
      <c r="D164" s="5">
        <v>539.2</v>
      </c>
      <c r="E164" s="5">
        <f t="shared" si="81"/>
        <v>538.5</v>
      </c>
      <c r="F164" s="5">
        <v>0.0</v>
      </c>
      <c r="G164" s="5">
        <v>0.0</v>
      </c>
      <c r="H164" s="5">
        <f t="shared" si="82"/>
        <v>538.5</v>
      </c>
    </row>
    <row r="165" ht="14.25" customHeight="1">
      <c r="A165" s="19">
        <v>13.0</v>
      </c>
      <c r="B165" s="4" t="s">
        <v>220</v>
      </c>
      <c r="C165" s="5">
        <v>1068.5</v>
      </c>
      <c r="D165" s="5">
        <v>530.7</v>
      </c>
      <c r="E165" s="5">
        <f t="shared" si="81"/>
        <v>537.8</v>
      </c>
      <c r="F165" s="5">
        <v>0.0</v>
      </c>
      <c r="G165" s="5">
        <v>0.0</v>
      </c>
      <c r="H165" s="5">
        <f t="shared" si="82"/>
        <v>537.8</v>
      </c>
    </row>
    <row r="166" ht="14.25" customHeight="1">
      <c r="A166" s="19">
        <v>14.0</v>
      </c>
      <c r="B166" s="4" t="s">
        <v>220</v>
      </c>
      <c r="C166" s="5">
        <v>1059.2</v>
      </c>
      <c r="D166" s="5">
        <v>488.9</v>
      </c>
      <c r="E166" s="5">
        <f t="shared" si="81"/>
        <v>570.3</v>
      </c>
      <c r="F166" s="5">
        <v>0.0</v>
      </c>
      <c r="G166" s="5">
        <v>0.0</v>
      </c>
      <c r="H166" s="5">
        <f t="shared" si="82"/>
        <v>570.3</v>
      </c>
    </row>
    <row r="167" ht="14.25" customHeight="1">
      <c r="A167" s="19">
        <v>15.0</v>
      </c>
      <c r="B167" s="4" t="s">
        <v>220</v>
      </c>
      <c r="C167" s="5">
        <v>1049.9</v>
      </c>
      <c r="D167" s="5">
        <v>416.3</v>
      </c>
      <c r="E167" s="5">
        <f t="shared" si="81"/>
        <v>633.6</v>
      </c>
      <c r="F167" s="5">
        <v>0.0</v>
      </c>
      <c r="G167" s="5">
        <v>0.0</v>
      </c>
      <c r="H167" s="5">
        <f t="shared" si="82"/>
        <v>633.6</v>
      </c>
    </row>
    <row r="168" ht="14.25" customHeight="1">
      <c r="A168" s="19">
        <v>16.0</v>
      </c>
      <c r="B168" s="4" t="s">
        <v>220</v>
      </c>
      <c r="C168" s="5">
        <v>1040.6</v>
      </c>
      <c r="D168" s="5">
        <v>317.6</v>
      </c>
      <c r="E168" s="5">
        <f t="shared" si="81"/>
        <v>723</v>
      </c>
      <c r="F168" s="5">
        <v>0.0</v>
      </c>
      <c r="G168" s="5">
        <v>0.0</v>
      </c>
      <c r="H168" s="5">
        <f t="shared" si="82"/>
        <v>723</v>
      </c>
    </row>
    <row r="169" ht="14.25" customHeight="1">
      <c r="A169" s="19">
        <v>17.0</v>
      </c>
      <c r="B169" s="4" t="s">
        <v>220</v>
      </c>
      <c r="C169" s="5">
        <v>1022.0</v>
      </c>
      <c r="D169" s="5">
        <v>198.9</v>
      </c>
      <c r="E169" s="5">
        <f t="shared" si="81"/>
        <v>823.1</v>
      </c>
      <c r="F169" s="5">
        <v>0.0</v>
      </c>
      <c r="G169" s="5">
        <v>0.0</v>
      </c>
      <c r="H169" s="5">
        <f t="shared" si="82"/>
        <v>823.1</v>
      </c>
    </row>
    <row r="170" ht="14.25" customHeight="1">
      <c r="A170" s="19">
        <v>18.0</v>
      </c>
      <c r="B170" s="4" t="s">
        <v>221</v>
      </c>
      <c r="C170" s="5">
        <v>1040.6</v>
      </c>
      <c r="D170" s="5">
        <v>67.7</v>
      </c>
      <c r="E170" s="5">
        <f t="shared" si="81"/>
        <v>972.9</v>
      </c>
      <c r="F170" s="5">
        <v>0.0</v>
      </c>
      <c r="G170" s="5">
        <f t="shared" ref="G170:G173" si="83">MIN($C$28,MAX(0,E170-$E$180))</f>
        <v>735.9077465</v>
      </c>
      <c r="H170" s="5">
        <f t="shared" si="82"/>
        <v>236.9922535</v>
      </c>
    </row>
    <row r="171" ht="14.25" customHeight="1">
      <c r="A171" s="19">
        <v>19.0</v>
      </c>
      <c r="B171" s="4" t="s">
        <v>221</v>
      </c>
      <c r="C171" s="5">
        <v>1059.2</v>
      </c>
      <c r="D171" s="5">
        <v>0.0</v>
      </c>
      <c r="E171" s="5">
        <f t="shared" si="81"/>
        <v>1059.2</v>
      </c>
      <c r="F171" s="5">
        <v>0.0</v>
      </c>
      <c r="G171" s="5">
        <f t="shared" si="83"/>
        <v>822.2077465</v>
      </c>
      <c r="H171" s="5">
        <f t="shared" si="82"/>
        <v>236.9922535</v>
      </c>
    </row>
    <row r="172" ht="14.25" customHeight="1">
      <c r="A172" s="19">
        <v>20.0</v>
      </c>
      <c r="B172" s="4" t="s">
        <v>221</v>
      </c>
      <c r="C172" s="5">
        <v>1040.6</v>
      </c>
      <c r="D172" s="5">
        <v>0.0</v>
      </c>
      <c r="E172" s="5">
        <f t="shared" si="81"/>
        <v>1040.6</v>
      </c>
      <c r="F172" s="5">
        <v>0.0</v>
      </c>
      <c r="G172" s="5">
        <f t="shared" si="83"/>
        <v>803.6077465</v>
      </c>
      <c r="H172" s="5">
        <f t="shared" si="82"/>
        <v>236.9922535</v>
      </c>
    </row>
    <row r="173" ht="14.25" customHeight="1">
      <c r="A173" s="19">
        <v>21.0</v>
      </c>
      <c r="B173" s="4" t="s">
        <v>221</v>
      </c>
      <c r="C173" s="5">
        <v>975.5</v>
      </c>
      <c r="D173" s="5">
        <v>0.0</v>
      </c>
      <c r="E173" s="5">
        <f t="shared" si="81"/>
        <v>975.5</v>
      </c>
      <c r="F173" s="5">
        <v>0.0</v>
      </c>
      <c r="G173" s="5">
        <f t="shared" si="83"/>
        <v>738.5077465</v>
      </c>
      <c r="H173" s="5">
        <f t="shared" si="82"/>
        <v>236.9922535</v>
      </c>
    </row>
    <row r="174" ht="14.25" customHeight="1">
      <c r="A174" s="19">
        <v>22.0</v>
      </c>
      <c r="B174" s="4" t="s">
        <v>220</v>
      </c>
      <c r="C174" s="5">
        <v>882.6</v>
      </c>
      <c r="D174" s="5">
        <v>0.0</v>
      </c>
      <c r="E174" s="5">
        <f t="shared" si="81"/>
        <v>882.6</v>
      </c>
      <c r="F174" s="5">
        <v>0.0</v>
      </c>
      <c r="G174" s="5">
        <v>0.0</v>
      </c>
      <c r="H174" s="5">
        <f t="shared" si="82"/>
        <v>882.6</v>
      </c>
    </row>
    <row r="175" ht="14.25" customHeight="1">
      <c r="A175" s="19">
        <v>23.0</v>
      </c>
      <c r="B175" s="4" t="s">
        <v>220</v>
      </c>
      <c r="C175" s="5">
        <v>817.6</v>
      </c>
      <c r="D175" s="5">
        <v>0.0</v>
      </c>
      <c r="E175" s="5">
        <f t="shared" si="81"/>
        <v>817.6</v>
      </c>
      <c r="F175" s="5">
        <v>0.0</v>
      </c>
      <c r="G175" s="5">
        <v>0.0</v>
      </c>
      <c r="H175" s="5">
        <f t="shared" si="82"/>
        <v>817.6</v>
      </c>
    </row>
    <row r="176" ht="14.25" customHeight="1"/>
    <row r="177" ht="14.25" customHeight="1">
      <c r="A177" s="3" t="s">
        <v>222</v>
      </c>
    </row>
    <row r="178" ht="14.25" customHeight="1">
      <c r="A178" s="4" t="s">
        <v>223</v>
      </c>
      <c r="E178" s="23">
        <f>MAX(E170:E173)</f>
        <v>1059.2</v>
      </c>
    </row>
    <row r="179" ht="14.25" customHeight="1">
      <c r="A179" s="4" t="s">
        <v>224</v>
      </c>
      <c r="E179" s="23">
        <f>$C$30</f>
        <v>3100.230986</v>
      </c>
    </row>
    <row r="180" ht="14.25" customHeight="1">
      <c r="A180" s="4" t="s">
        <v>225</v>
      </c>
      <c r="E180" s="23">
        <f>MAX(0,(SUM(E170:E173)-MIN($C$30,SUM(E170:E173)))/4)</f>
        <v>236.9922535</v>
      </c>
    </row>
    <row r="181" ht="14.25" customHeight="1">
      <c r="A181" s="4" t="s">
        <v>226</v>
      </c>
      <c r="E181" s="23">
        <f>MAX(H170:H173)</f>
        <v>236.9922535</v>
      </c>
    </row>
    <row r="182" ht="14.25" customHeight="1">
      <c r="A182" s="3" t="s">
        <v>227</v>
      </c>
      <c r="E182" s="24">
        <f>E178-E181</f>
        <v>822.2077465</v>
      </c>
    </row>
    <row r="183" ht="14.25" customHeight="1">
      <c r="A183" s="4" t="s">
        <v>228</v>
      </c>
      <c r="E183" s="5">
        <f>E182*AVERAGE(B17:M17)</f>
        <v>318549.3176</v>
      </c>
    </row>
    <row r="184" ht="14.25" customHeight="1">
      <c r="A184" s="29" t="s">
        <v>229</v>
      </c>
    </row>
    <row r="185" ht="14.25" customHeight="1"/>
    <row r="186" ht="14.25" customHeight="1">
      <c r="A186" s="3" t="s">
        <v>236</v>
      </c>
    </row>
    <row r="187" ht="14.25" customHeight="1">
      <c r="A187" s="3" t="s">
        <v>211</v>
      </c>
      <c r="B187" s="3" t="s">
        <v>212</v>
      </c>
      <c r="C187" s="3" t="s">
        <v>213</v>
      </c>
      <c r="D187" s="3" t="s">
        <v>214</v>
      </c>
      <c r="E187" s="3" t="s">
        <v>215</v>
      </c>
      <c r="F187" s="3" t="s">
        <v>216</v>
      </c>
      <c r="G187" s="3" t="s">
        <v>217</v>
      </c>
      <c r="H187" s="3" t="s">
        <v>218</v>
      </c>
    </row>
    <row r="188" ht="14.25" customHeight="1">
      <c r="A188" s="4">
        <v>0.0</v>
      </c>
      <c r="B188" s="4" t="s">
        <v>219</v>
      </c>
      <c r="C188" s="4">
        <v>789.7</v>
      </c>
      <c r="D188" s="4">
        <v>0.0</v>
      </c>
      <c r="E188" s="4">
        <f t="shared" ref="E188:E211" si="84">C188-D188</f>
        <v>789.7</v>
      </c>
      <c r="F188" s="4">
        <v>-538.2</v>
      </c>
      <c r="G188" s="4">
        <v>0.0</v>
      </c>
      <c r="H188" s="4">
        <f t="shared" ref="H188:H211" si="85">E188-F188-G188</f>
        <v>1327.9</v>
      </c>
    </row>
    <row r="189" ht="14.25" customHeight="1">
      <c r="A189" s="4">
        <v>1.0</v>
      </c>
      <c r="B189" s="4" t="s">
        <v>219</v>
      </c>
      <c r="C189" s="4">
        <v>789.7</v>
      </c>
      <c r="D189" s="4">
        <v>0.0</v>
      </c>
      <c r="E189" s="4">
        <f t="shared" si="84"/>
        <v>789.7</v>
      </c>
      <c r="F189" s="4">
        <v>-538.2</v>
      </c>
      <c r="G189" s="4">
        <v>0.0</v>
      </c>
      <c r="H189" s="4">
        <f t="shared" si="85"/>
        <v>1327.9</v>
      </c>
    </row>
    <row r="190" ht="14.25" customHeight="1">
      <c r="A190" s="4">
        <v>2.0</v>
      </c>
      <c r="B190" s="4" t="s">
        <v>219</v>
      </c>
      <c r="C190" s="4">
        <v>789.7</v>
      </c>
      <c r="D190" s="4">
        <v>0.0</v>
      </c>
      <c r="E190" s="4">
        <f t="shared" si="84"/>
        <v>789.7</v>
      </c>
      <c r="F190" s="4">
        <v>-538.2</v>
      </c>
      <c r="G190" s="4">
        <v>0.0</v>
      </c>
      <c r="H190" s="4">
        <f t="shared" si="85"/>
        <v>1327.9</v>
      </c>
    </row>
    <row r="191" ht="14.25" customHeight="1">
      <c r="A191" s="4">
        <v>3.0</v>
      </c>
      <c r="B191" s="4" t="s">
        <v>219</v>
      </c>
      <c r="C191" s="4">
        <v>799.0</v>
      </c>
      <c r="D191" s="4">
        <v>0.0</v>
      </c>
      <c r="E191" s="4">
        <f t="shared" si="84"/>
        <v>799</v>
      </c>
      <c r="F191" s="4">
        <v>-538.2</v>
      </c>
      <c r="G191" s="4">
        <v>0.0</v>
      </c>
      <c r="H191" s="4">
        <f t="shared" si="85"/>
        <v>1337.2</v>
      </c>
    </row>
    <row r="192" ht="14.25" customHeight="1">
      <c r="A192" s="4">
        <v>4.0</v>
      </c>
      <c r="B192" s="4" t="s">
        <v>219</v>
      </c>
      <c r="C192" s="4">
        <v>817.6</v>
      </c>
      <c r="D192" s="4">
        <v>0.0</v>
      </c>
      <c r="E192" s="4">
        <f t="shared" si="84"/>
        <v>817.6</v>
      </c>
      <c r="F192" s="4">
        <v>-538.2</v>
      </c>
      <c r="G192" s="4">
        <v>0.0</v>
      </c>
      <c r="H192" s="4">
        <f t="shared" si="85"/>
        <v>1355.8</v>
      </c>
    </row>
    <row r="193" ht="14.25" customHeight="1">
      <c r="A193" s="4">
        <v>5.0</v>
      </c>
      <c r="B193" s="4" t="s">
        <v>219</v>
      </c>
      <c r="C193" s="4">
        <v>854.8</v>
      </c>
      <c r="D193" s="4">
        <v>0.0</v>
      </c>
      <c r="E193" s="4">
        <f t="shared" si="84"/>
        <v>854.8</v>
      </c>
      <c r="F193" s="4">
        <v>-538.2</v>
      </c>
      <c r="G193" s="4">
        <v>0.0</v>
      </c>
      <c r="H193" s="4">
        <f t="shared" si="85"/>
        <v>1393</v>
      </c>
    </row>
    <row r="194" ht="14.25" customHeight="1">
      <c r="A194" s="4">
        <v>6.0</v>
      </c>
      <c r="B194" s="4" t="s">
        <v>220</v>
      </c>
      <c r="C194" s="4">
        <v>910.5</v>
      </c>
      <c r="D194" s="4">
        <v>0.0</v>
      </c>
      <c r="E194" s="4">
        <f t="shared" si="84"/>
        <v>910.5</v>
      </c>
      <c r="F194" s="4">
        <v>0.0</v>
      </c>
      <c r="G194" s="4">
        <v>0.0</v>
      </c>
      <c r="H194" s="4">
        <f t="shared" si="85"/>
        <v>910.5</v>
      </c>
    </row>
    <row r="195" ht="14.25" customHeight="1">
      <c r="A195" s="4">
        <v>7.0</v>
      </c>
      <c r="B195" s="4" t="s">
        <v>220</v>
      </c>
      <c r="C195" s="4">
        <v>975.5</v>
      </c>
      <c r="D195" s="4">
        <v>134.4</v>
      </c>
      <c r="E195" s="4">
        <f t="shared" si="84"/>
        <v>841.1</v>
      </c>
      <c r="F195" s="4">
        <v>0.0</v>
      </c>
      <c r="G195" s="4">
        <v>0.0</v>
      </c>
      <c r="H195" s="4">
        <f t="shared" si="85"/>
        <v>841.1</v>
      </c>
    </row>
    <row r="196" ht="14.25" customHeight="1">
      <c r="A196" s="4">
        <v>8.0</v>
      </c>
      <c r="B196" s="4" t="s">
        <v>220</v>
      </c>
      <c r="C196" s="4">
        <v>1040.6</v>
      </c>
      <c r="D196" s="4">
        <v>260.3</v>
      </c>
      <c r="E196" s="4">
        <f t="shared" si="84"/>
        <v>780.3</v>
      </c>
      <c r="F196" s="4">
        <v>0.0</v>
      </c>
      <c r="G196" s="4">
        <v>0.0</v>
      </c>
      <c r="H196" s="4">
        <f t="shared" si="85"/>
        <v>780.3</v>
      </c>
    </row>
    <row r="197" ht="14.25" customHeight="1">
      <c r="A197" s="4">
        <v>9.0</v>
      </c>
      <c r="B197" s="4" t="s">
        <v>220</v>
      </c>
      <c r="C197" s="4">
        <v>1068.5</v>
      </c>
      <c r="D197" s="4">
        <v>369.9</v>
      </c>
      <c r="E197" s="4">
        <f t="shared" si="84"/>
        <v>698.6</v>
      </c>
      <c r="F197" s="4">
        <v>0.0</v>
      </c>
      <c r="G197" s="4">
        <v>0.0</v>
      </c>
      <c r="H197" s="4">
        <f t="shared" si="85"/>
        <v>698.6</v>
      </c>
    </row>
    <row r="198" ht="14.25" customHeight="1">
      <c r="A198" s="4">
        <v>10.0</v>
      </c>
      <c r="B198" s="4" t="s">
        <v>220</v>
      </c>
      <c r="C198" s="4">
        <v>1077.7</v>
      </c>
      <c r="D198" s="4">
        <v>456.2</v>
      </c>
      <c r="E198" s="4">
        <f t="shared" si="84"/>
        <v>621.5</v>
      </c>
      <c r="F198" s="4">
        <v>0.0</v>
      </c>
      <c r="G198" s="4">
        <v>0.0</v>
      </c>
      <c r="H198" s="4">
        <f t="shared" si="85"/>
        <v>621.5</v>
      </c>
    </row>
    <row r="199" ht="14.25" customHeight="1">
      <c r="A199" s="4">
        <v>11.0</v>
      </c>
      <c r="B199" s="4" t="s">
        <v>220</v>
      </c>
      <c r="C199" s="4">
        <v>1077.7</v>
      </c>
      <c r="D199" s="4">
        <v>513.8</v>
      </c>
      <c r="E199" s="4">
        <f t="shared" si="84"/>
        <v>563.9</v>
      </c>
      <c r="F199" s="4">
        <v>0.0</v>
      </c>
      <c r="G199" s="4">
        <v>0.0</v>
      </c>
      <c r="H199" s="4">
        <f t="shared" si="85"/>
        <v>563.9</v>
      </c>
    </row>
    <row r="200" ht="14.25" customHeight="1">
      <c r="A200" s="4">
        <v>12.0</v>
      </c>
      <c r="B200" s="4" t="s">
        <v>220</v>
      </c>
      <c r="C200" s="4">
        <v>1077.7</v>
      </c>
      <c r="D200" s="4">
        <v>539.2</v>
      </c>
      <c r="E200" s="4">
        <f t="shared" si="84"/>
        <v>538.5</v>
      </c>
      <c r="F200" s="4">
        <v>0.0</v>
      </c>
      <c r="G200" s="4">
        <v>0.0</v>
      </c>
      <c r="H200" s="4">
        <f t="shared" si="85"/>
        <v>538.5</v>
      </c>
    </row>
    <row r="201" ht="14.25" customHeight="1">
      <c r="A201" s="4">
        <v>13.0</v>
      </c>
      <c r="B201" s="4" t="s">
        <v>220</v>
      </c>
      <c r="C201" s="4">
        <v>1068.5</v>
      </c>
      <c r="D201" s="4">
        <v>530.7</v>
      </c>
      <c r="E201" s="4">
        <f t="shared" si="84"/>
        <v>537.8</v>
      </c>
      <c r="F201" s="4">
        <v>0.0</v>
      </c>
      <c r="G201" s="4">
        <v>0.0</v>
      </c>
      <c r="H201" s="4">
        <f t="shared" si="85"/>
        <v>537.8</v>
      </c>
    </row>
    <row r="202" ht="14.25" customHeight="1">
      <c r="A202" s="4">
        <v>14.0</v>
      </c>
      <c r="B202" s="4" t="s">
        <v>220</v>
      </c>
      <c r="C202" s="4">
        <v>1059.2</v>
      </c>
      <c r="D202" s="4">
        <v>488.9</v>
      </c>
      <c r="E202" s="4">
        <f t="shared" si="84"/>
        <v>570.3</v>
      </c>
      <c r="F202" s="4">
        <v>0.0</v>
      </c>
      <c r="G202" s="4">
        <v>0.0</v>
      </c>
      <c r="H202" s="4">
        <f t="shared" si="85"/>
        <v>570.3</v>
      </c>
    </row>
    <row r="203" ht="14.25" customHeight="1">
      <c r="A203" s="4">
        <v>15.0</v>
      </c>
      <c r="B203" s="4" t="s">
        <v>220</v>
      </c>
      <c r="C203" s="4">
        <v>1049.9</v>
      </c>
      <c r="D203" s="4">
        <v>416.3</v>
      </c>
      <c r="E203" s="4">
        <f t="shared" si="84"/>
        <v>633.6</v>
      </c>
      <c r="F203" s="4">
        <v>0.0</v>
      </c>
      <c r="G203" s="4">
        <v>0.0</v>
      </c>
      <c r="H203" s="4">
        <f t="shared" si="85"/>
        <v>633.6</v>
      </c>
    </row>
    <row r="204" ht="14.25" customHeight="1">
      <c r="A204" s="4">
        <v>16.0</v>
      </c>
      <c r="B204" s="4" t="s">
        <v>220</v>
      </c>
      <c r="C204" s="4">
        <v>1040.6</v>
      </c>
      <c r="D204" s="4">
        <v>317.6</v>
      </c>
      <c r="E204" s="4">
        <f t="shared" si="84"/>
        <v>723</v>
      </c>
      <c r="F204" s="4">
        <v>0.0</v>
      </c>
      <c r="G204" s="4">
        <v>0.0</v>
      </c>
      <c r="H204" s="4">
        <f t="shared" si="85"/>
        <v>723</v>
      </c>
    </row>
    <row r="205" ht="14.25" customHeight="1">
      <c r="A205" s="4">
        <v>17.0</v>
      </c>
      <c r="B205" s="4" t="s">
        <v>220</v>
      </c>
      <c r="C205" s="4">
        <v>1022.0</v>
      </c>
      <c r="D205" s="4">
        <v>198.9</v>
      </c>
      <c r="E205" s="4">
        <f t="shared" si="84"/>
        <v>823.1</v>
      </c>
      <c r="F205" s="4">
        <v>0.0</v>
      </c>
      <c r="G205" s="4">
        <v>0.0</v>
      </c>
      <c r="H205" s="4">
        <f t="shared" si="85"/>
        <v>823.1</v>
      </c>
    </row>
    <row r="206" ht="14.25" customHeight="1">
      <c r="A206" s="4">
        <v>18.0</v>
      </c>
      <c r="B206" s="4" t="s">
        <v>220</v>
      </c>
      <c r="C206" s="4">
        <v>1040.6</v>
      </c>
      <c r="D206" s="4">
        <v>67.7</v>
      </c>
      <c r="E206" s="4">
        <f t="shared" si="84"/>
        <v>972.9</v>
      </c>
      <c r="F206" s="4">
        <v>0.0</v>
      </c>
      <c r="G206" s="4">
        <v>0.0</v>
      </c>
      <c r="H206" s="4">
        <f t="shared" si="85"/>
        <v>972.9</v>
      </c>
    </row>
    <row r="207" ht="14.25" customHeight="1">
      <c r="A207" s="4">
        <v>19.0</v>
      </c>
      <c r="B207" s="4" t="s">
        <v>220</v>
      </c>
      <c r="C207" s="4">
        <v>1059.2</v>
      </c>
      <c r="D207" s="4">
        <v>0.0</v>
      </c>
      <c r="E207" s="4">
        <f t="shared" si="84"/>
        <v>1059.2</v>
      </c>
      <c r="F207" s="4">
        <v>0.0</v>
      </c>
      <c r="G207" s="4">
        <v>0.0</v>
      </c>
      <c r="H207" s="4">
        <f t="shared" si="85"/>
        <v>1059.2</v>
      </c>
    </row>
    <row r="208" ht="14.25" customHeight="1">
      <c r="A208" s="4">
        <v>20.0</v>
      </c>
      <c r="B208" s="4" t="s">
        <v>221</v>
      </c>
      <c r="C208" s="4">
        <v>1040.6</v>
      </c>
      <c r="D208" s="4">
        <v>0.0</v>
      </c>
      <c r="E208" s="4">
        <f t="shared" si="84"/>
        <v>1040.6</v>
      </c>
      <c r="F208" s="4">
        <v>0.0</v>
      </c>
      <c r="G208" s="5">
        <f t="shared" ref="G208:G209" si="86">MIN($C$28,MAX(0,E208-$E$216))</f>
        <v>1040.6</v>
      </c>
      <c r="H208" s="5">
        <f t="shared" si="85"/>
        <v>0</v>
      </c>
    </row>
    <row r="209" ht="14.25" customHeight="1">
      <c r="A209" s="4">
        <v>21.0</v>
      </c>
      <c r="B209" s="4" t="s">
        <v>221</v>
      </c>
      <c r="C209" s="4">
        <v>975.5</v>
      </c>
      <c r="D209" s="4">
        <v>0.0</v>
      </c>
      <c r="E209" s="4">
        <f t="shared" si="84"/>
        <v>975.5</v>
      </c>
      <c r="F209" s="4">
        <v>0.0</v>
      </c>
      <c r="G209" s="5">
        <f t="shared" si="86"/>
        <v>975.5</v>
      </c>
      <c r="H209" s="5">
        <f t="shared" si="85"/>
        <v>0</v>
      </c>
    </row>
    <row r="210" ht="14.25" customHeight="1">
      <c r="A210" s="4">
        <v>22.0</v>
      </c>
      <c r="B210" s="4" t="s">
        <v>220</v>
      </c>
      <c r="C210" s="4">
        <v>882.6</v>
      </c>
      <c r="D210" s="4">
        <v>0.0</v>
      </c>
      <c r="E210" s="4">
        <f t="shared" si="84"/>
        <v>882.6</v>
      </c>
      <c r="F210" s="4">
        <v>0.0</v>
      </c>
      <c r="G210" s="4">
        <v>0.0</v>
      </c>
      <c r="H210" s="4">
        <f t="shared" si="85"/>
        <v>882.6</v>
      </c>
    </row>
    <row r="211" ht="14.25" customHeight="1">
      <c r="A211" s="4">
        <v>23.0</v>
      </c>
      <c r="B211" s="4" t="s">
        <v>220</v>
      </c>
      <c r="C211" s="4">
        <v>817.6</v>
      </c>
      <c r="D211" s="4">
        <v>0.0</v>
      </c>
      <c r="E211" s="4">
        <f t="shared" si="84"/>
        <v>817.6</v>
      </c>
      <c r="F211" s="4">
        <v>0.0</v>
      </c>
      <c r="G211" s="4">
        <v>0.0</v>
      </c>
      <c r="H211" s="4">
        <f t="shared" si="85"/>
        <v>817.6</v>
      </c>
    </row>
    <row r="212" ht="14.25" customHeight="1"/>
    <row r="213" ht="14.25" customHeight="1">
      <c r="A213" s="3" t="s">
        <v>231</v>
      </c>
    </row>
    <row r="214" ht="14.25" customHeight="1">
      <c r="A214" s="4" t="s">
        <v>223</v>
      </c>
      <c r="E214" s="23">
        <f>MAX(E208:E209)</f>
        <v>1040.6</v>
      </c>
    </row>
    <row r="215" ht="14.25" customHeight="1">
      <c r="A215" s="4" t="s">
        <v>224</v>
      </c>
      <c r="E215" s="23">
        <f>$C$30</f>
        <v>3100.230986</v>
      </c>
    </row>
    <row r="216" ht="14.25" customHeight="1">
      <c r="A216" s="4" t="s">
        <v>225</v>
      </c>
      <c r="E216" s="23">
        <f>MAX(0,(SUM(E208:E209)-MIN($C$30,SUM(E208:E209)))/2)</f>
        <v>0</v>
      </c>
    </row>
    <row r="217" ht="14.25" customHeight="1">
      <c r="A217" s="4" t="s">
        <v>226</v>
      </c>
      <c r="E217" s="23">
        <f>MAX(H208:H209)</f>
        <v>0</v>
      </c>
    </row>
    <row r="218" ht="14.25" customHeight="1">
      <c r="A218" s="3" t="s">
        <v>227</v>
      </c>
      <c r="E218" s="24">
        <f>E214-E217</f>
        <v>1040.6</v>
      </c>
    </row>
    <row r="219" ht="14.25" customHeight="1">
      <c r="A219" s="29" t="s">
        <v>232</v>
      </c>
    </row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0.0"/>
    <col customWidth="1" min="2" max="18" width="14.0"/>
    <col customWidth="1" min="19" max="26" width="8.71"/>
  </cols>
  <sheetData>
    <row r="1" ht="14.25" customHeight="1">
      <c r="A1" s="1" t="s">
        <v>237</v>
      </c>
    </row>
    <row r="2" ht="14.25" customHeight="1"/>
    <row r="3" ht="14.25" customHeight="1">
      <c r="A3" s="1" t="s">
        <v>91</v>
      </c>
    </row>
    <row r="4" ht="14.25" customHeight="1">
      <c r="A4" s="18" t="s">
        <v>92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98</v>
      </c>
      <c r="H4" s="2" t="s">
        <v>99</v>
      </c>
      <c r="I4" s="2" t="s">
        <v>100</v>
      </c>
      <c r="J4" s="2" t="s">
        <v>101</v>
      </c>
      <c r="K4" s="2" t="s">
        <v>102</v>
      </c>
      <c r="L4" s="2" t="s">
        <v>103</v>
      </c>
      <c r="M4" s="2" t="s">
        <v>104</v>
      </c>
      <c r="N4" s="18" t="s">
        <v>105</v>
      </c>
    </row>
    <row r="5" ht="14.25" customHeight="1">
      <c r="A5" s="4" t="s">
        <v>106</v>
      </c>
      <c r="B5" s="5">
        <v>131219.0</v>
      </c>
      <c r="C5" s="5">
        <v>135885.0</v>
      </c>
      <c r="D5" s="5">
        <v>101439.0</v>
      </c>
      <c r="E5" s="5">
        <v>116365.0</v>
      </c>
      <c r="F5" s="5">
        <v>100169.0</v>
      </c>
      <c r="G5" s="5">
        <v>98572.0</v>
      </c>
      <c r="H5" s="5">
        <v>94126.0</v>
      </c>
      <c r="I5" s="5">
        <v>102510.0</v>
      </c>
      <c r="J5" s="5">
        <v>100399.0</v>
      </c>
      <c r="K5" s="5">
        <v>112612.0</v>
      </c>
      <c r="L5" s="5">
        <v>121096.0</v>
      </c>
      <c r="M5" s="5">
        <v>87120.0</v>
      </c>
      <c r="N5" s="10">
        <f t="shared" ref="N5:N8" si="1">SUM(B5:M5)</f>
        <v>1301512</v>
      </c>
    </row>
    <row r="6" ht="14.25" customHeight="1">
      <c r="A6" s="4" t="s">
        <v>107</v>
      </c>
      <c r="B6" s="5">
        <v>271299.0</v>
      </c>
      <c r="C6" s="5">
        <v>268040.0</v>
      </c>
      <c r="D6" s="5">
        <v>274792.0</v>
      </c>
      <c r="E6" s="5">
        <v>275738.0</v>
      </c>
      <c r="F6" s="5">
        <v>231786.0</v>
      </c>
      <c r="G6" s="5">
        <v>224586.0</v>
      </c>
      <c r="H6" s="5">
        <v>183552.0</v>
      </c>
      <c r="I6" s="5">
        <v>225061.0</v>
      </c>
      <c r="J6" s="5">
        <v>190456.0</v>
      </c>
      <c r="K6" s="5">
        <v>186342.0</v>
      </c>
      <c r="L6" s="5">
        <v>201871.0</v>
      </c>
      <c r="M6" s="5">
        <v>213852.0</v>
      </c>
      <c r="N6" s="10">
        <f t="shared" si="1"/>
        <v>2747375</v>
      </c>
    </row>
    <row r="7" ht="14.25" customHeight="1">
      <c r="A7" s="4" t="s">
        <v>108</v>
      </c>
      <c r="B7" s="5">
        <v>30661.0</v>
      </c>
      <c r="C7" s="5">
        <v>30139.0</v>
      </c>
      <c r="D7" s="5">
        <v>34785.0</v>
      </c>
      <c r="E7" s="5">
        <v>28280.0</v>
      </c>
      <c r="F7" s="5">
        <v>26471.0</v>
      </c>
      <c r="G7" s="5">
        <v>35922.0</v>
      </c>
      <c r="H7" s="5">
        <v>53993.0</v>
      </c>
      <c r="I7" s="5">
        <v>64699.0</v>
      </c>
      <c r="J7" s="5">
        <v>54255.0</v>
      </c>
      <c r="K7" s="5">
        <v>51438.0</v>
      </c>
      <c r="L7" s="5">
        <v>55161.0</v>
      </c>
      <c r="M7" s="5">
        <v>28376.0</v>
      </c>
      <c r="N7" s="10">
        <f t="shared" si="1"/>
        <v>494180</v>
      </c>
    </row>
    <row r="8" ht="14.25" customHeight="1">
      <c r="A8" s="4" t="s">
        <v>109</v>
      </c>
      <c r="B8" s="5">
        <f t="shared" ref="B8:M8" si="2">SUM(B5:B7)</f>
        <v>433179</v>
      </c>
      <c r="C8" s="5">
        <f t="shared" si="2"/>
        <v>434064</v>
      </c>
      <c r="D8" s="5">
        <f t="shared" si="2"/>
        <v>411016</v>
      </c>
      <c r="E8" s="5">
        <f t="shared" si="2"/>
        <v>420383</v>
      </c>
      <c r="F8" s="5">
        <f t="shared" si="2"/>
        <v>358426</v>
      </c>
      <c r="G8" s="5">
        <f t="shared" si="2"/>
        <v>359080</v>
      </c>
      <c r="H8" s="5">
        <f t="shared" si="2"/>
        <v>331671</v>
      </c>
      <c r="I8" s="5">
        <f t="shared" si="2"/>
        <v>392270</v>
      </c>
      <c r="J8" s="5">
        <f t="shared" si="2"/>
        <v>345110</v>
      </c>
      <c r="K8" s="5">
        <f t="shared" si="2"/>
        <v>350392</v>
      </c>
      <c r="L8" s="5">
        <f t="shared" si="2"/>
        <v>378128</v>
      </c>
      <c r="M8" s="5">
        <f t="shared" si="2"/>
        <v>329348</v>
      </c>
      <c r="N8" s="10">
        <f t="shared" si="1"/>
        <v>4543067</v>
      </c>
    </row>
    <row r="9" ht="14.25" customHeight="1">
      <c r="A9" s="4" t="s">
        <v>110</v>
      </c>
      <c r="B9" s="5">
        <v>697.0</v>
      </c>
      <c r="C9" s="5">
        <v>718.0</v>
      </c>
      <c r="D9" s="5">
        <v>756.0</v>
      </c>
      <c r="E9" s="5">
        <v>673.0</v>
      </c>
      <c r="F9" s="5">
        <v>602.0</v>
      </c>
      <c r="G9" s="5">
        <v>717.0</v>
      </c>
      <c r="H9" s="5">
        <v>659.0</v>
      </c>
      <c r="I9" s="5">
        <v>710.0</v>
      </c>
      <c r="J9" s="5">
        <v>608.0</v>
      </c>
      <c r="K9" s="5">
        <v>642.0</v>
      </c>
      <c r="L9" s="5">
        <v>631.0</v>
      </c>
      <c r="M9" s="5">
        <v>612.0</v>
      </c>
      <c r="N9" s="10">
        <f t="shared" ref="N9:N10" si="3">MAX(B9:M9)</f>
        <v>756</v>
      </c>
    </row>
    <row r="10" ht="14.25" customHeight="1">
      <c r="A10" s="4" t="s">
        <v>111</v>
      </c>
      <c r="B10" s="5">
        <v>697.0</v>
      </c>
      <c r="C10" s="5">
        <v>718.0</v>
      </c>
      <c r="D10" s="5">
        <v>756.0</v>
      </c>
      <c r="E10" s="5">
        <v>673.0</v>
      </c>
      <c r="F10" s="5">
        <v>602.0</v>
      </c>
      <c r="G10" s="5">
        <v>717.0</v>
      </c>
      <c r="H10" s="5">
        <v>659.0</v>
      </c>
      <c r="I10" s="5">
        <v>710.0</v>
      </c>
      <c r="J10" s="5">
        <v>608.0</v>
      </c>
      <c r="K10" s="5">
        <v>649.0</v>
      </c>
      <c r="L10" s="5">
        <v>631.0</v>
      </c>
      <c r="M10" s="5">
        <v>612.0</v>
      </c>
      <c r="N10" s="10">
        <f t="shared" si="3"/>
        <v>756</v>
      </c>
    </row>
    <row r="11" ht="14.25" customHeight="1">
      <c r="A11" s="4" t="s">
        <v>112</v>
      </c>
      <c r="B11" s="19">
        <v>22.0</v>
      </c>
      <c r="C11" s="19">
        <v>21.0</v>
      </c>
      <c r="D11" s="19">
        <v>23.0</v>
      </c>
      <c r="E11" s="19">
        <v>21.0</v>
      </c>
      <c r="F11" s="19">
        <v>22.0</v>
      </c>
      <c r="G11" s="19">
        <v>23.0</v>
      </c>
      <c r="H11" s="19">
        <v>25.0</v>
      </c>
      <c r="I11" s="19">
        <v>27.0</v>
      </c>
      <c r="J11" s="19">
        <v>27.0</v>
      </c>
      <c r="K11" s="19">
        <v>24.0</v>
      </c>
      <c r="L11" s="19">
        <v>26.0</v>
      </c>
      <c r="M11" s="19">
        <v>23.0</v>
      </c>
    </row>
    <row r="12" ht="14.25" customHeight="1">
      <c r="A12" s="4" t="s">
        <v>113</v>
      </c>
      <c r="B12" s="20">
        <v>2.0</v>
      </c>
      <c r="C12" s="20">
        <v>2.0</v>
      </c>
      <c r="D12" s="20">
        <v>2.0</v>
      </c>
      <c r="E12" s="20">
        <v>2.0</v>
      </c>
      <c r="F12" s="20">
        <v>2.0</v>
      </c>
      <c r="G12" s="20">
        <v>2.43</v>
      </c>
      <c r="H12" s="20">
        <v>3.6</v>
      </c>
      <c r="I12" s="20">
        <v>3.7</v>
      </c>
      <c r="J12" s="20">
        <v>3.63</v>
      </c>
      <c r="K12" s="20">
        <v>3.67</v>
      </c>
      <c r="L12" s="20">
        <v>3.69</v>
      </c>
      <c r="M12" s="20">
        <v>2.26</v>
      </c>
    </row>
    <row r="13" ht="14.25" customHeight="1">
      <c r="A13" s="4" t="s">
        <v>114</v>
      </c>
      <c r="B13" s="19">
        <v>31.0</v>
      </c>
      <c r="C13" s="19">
        <v>30.0</v>
      </c>
      <c r="D13" s="19">
        <v>31.0</v>
      </c>
      <c r="E13" s="19">
        <v>31.0</v>
      </c>
      <c r="F13" s="19">
        <v>30.0</v>
      </c>
      <c r="G13" s="19">
        <v>31.0</v>
      </c>
      <c r="H13" s="19">
        <v>30.0</v>
      </c>
      <c r="I13" s="19">
        <v>31.0</v>
      </c>
      <c r="J13" s="19">
        <v>31.0</v>
      </c>
      <c r="K13" s="19">
        <v>28.0</v>
      </c>
      <c r="L13" s="19">
        <v>31.0</v>
      </c>
      <c r="M13" s="19">
        <v>30.0</v>
      </c>
    </row>
    <row r="14" ht="14.25" customHeight="1">
      <c r="A14" s="4" t="s">
        <v>115</v>
      </c>
      <c r="B14" s="9">
        <v>1.3138</v>
      </c>
      <c r="C14" s="9">
        <v>1.3404</v>
      </c>
      <c r="D14" s="9">
        <v>1.3576</v>
      </c>
      <c r="E14" s="9">
        <v>1.3593</v>
      </c>
      <c r="F14" s="9">
        <v>1.3527</v>
      </c>
      <c r="G14" s="9">
        <v>1.3527</v>
      </c>
      <c r="H14" s="9">
        <v>1.318</v>
      </c>
      <c r="I14" s="9">
        <v>1.262</v>
      </c>
      <c r="J14" s="9">
        <v>1.235</v>
      </c>
      <c r="K14" s="9">
        <v>1.2356</v>
      </c>
      <c r="L14" s="9">
        <v>1.2362</v>
      </c>
      <c r="M14" s="9">
        <v>1.2362</v>
      </c>
    </row>
    <row r="15" ht="14.25" customHeight="1">
      <c r="A15" s="4" t="s">
        <v>116</v>
      </c>
      <c r="B15" s="9">
        <v>2.2227</v>
      </c>
      <c r="C15" s="9">
        <v>2.2709</v>
      </c>
      <c r="D15" s="9">
        <v>2.3021</v>
      </c>
      <c r="E15" s="9">
        <v>2.305</v>
      </c>
      <c r="F15" s="9">
        <v>2.2898</v>
      </c>
      <c r="G15" s="9">
        <v>2.2898</v>
      </c>
      <c r="H15" s="9">
        <v>2.227</v>
      </c>
      <c r="I15" s="9">
        <v>2.1256</v>
      </c>
      <c r="J15" s="9">
        <v>2.0791</v>
      </c>
      <c r="K15" s="9">
        <v>2.0802</v>
      </c>
      <c r="L15" s="9">
        <v>2.0813</v>
      </c>
      <c r="M15" s="9">
        <v>2.0812</v>
      </c>
    </row>
    <row r="16" ht="14.25" customHeight="1">
      <c r="A16" s="4" t="s">
        <v>117</v>
      </c>
      <c r="B16" s="9">
        <v>2.4821</v>
      </c>
      <c r="C16" s="9">
        <v>2.5365</v>
      </c>
      <c r="D16" s="9">
        <v>2.5716</v>
      </c>
      <c r="E16" s="9">
        <v>2.5749</v>
      </c>
      <c r="F16" s="9">
        <v>2.5572</v>
      </c>
      <c r="G16" s="9">
        <v>2.5572</v>
      </c>
      <c r="H16" s="9">
        <v>2.4864</v>
      </c>
      <c r="I16" s="9">
        <v>2.372</v>
      </c>
      <c r="J16" s="9">
        <v>2.32</v>
      </c>
      <c r="K16" s="9">
        <v>2.3212</v>
      </c>
      <c r="L16" s="9">
        <v>2.3225</v>
      </c>
      <c r="M16" s="9">
        <v>2.3224</v>
      </c>
    </row>
    <row r="17" ht="14.25" customHeight="1">
      <c r="A17" s="4" t="s">
        <v>118</v>
      </c>
      <c r="B17" s="21">
        <v>422.31</v>
      </c>
      <c r="C17" s="21">
        <v>432.34</v>
      </c>
      <c r="D17" s="21">
        <v>438.82</v>
      </c>
      <c r="E17" s="21">
        <v>439.43</v>
      </c>
      <c r="F17" s="21">
        <v>435.41</v>
      </c>
      <c r="G17" s="21">
        <v>435.41</v>
      </c>
      <c r="H17" s="21">
        <v>422.34</v>
      </c>
      <c r="I17" s="21">
        <v>401.23</v>
      </c>
      <c r="J17" s="21">
        <v>392.2</v>
      </c>
      <c r="K17" s="21">
        <v>392.43</v>
      </c>
      <c r="L17" s="21">
        <v>392.66</v>
      </c>
      <c r="M17" s="21">
        <v>392.65</v>
      </c>
    </row>
    <row r="18" ht="14.25" customHeight="1">
      <c r="A18" s="4" t="s">
        <v>119</v>
      </c>
      <c r="B18" s="21">
        <v>94.61</v>
      </c>
      <c r="C18" s="21">
        <v>94.61</v>
      </c>
      <c r="D18" s="21">
        <v>94.61</v>
      </c>
      <c r="E18" s="21">
        <v>94.61</v>
      </c>
      <c r="F18" s="21">
        <v>94.61</v>
      </c>
      <c r="G18" s="21">
        <v>94.61</v>
      </c>
      <c r="H18" s="21">
        <v>94.61</v>
      </c>
      <c r="I18" s="21">
        <v>94.61</v>
      </c>
      <c r="J18" s="21">
        <v>91.87</v>
      </c>
      <c r="K18" s="21">
        <v>91.87</v>
      </c>
      <c r="L18" s="21">
        <v>91.87</v>
      </c>
      <c r="M18" s="21">
        <v>91.87</v>
      </c>
    </row>
    <row r="19" ht="14.25" customHeight="1">
      <c r="A19" s="4" t="s">
        <v>121</v>
      </c>
      <c r="B19" s="5">
        <v>1428537.0</v>
      </c>
      <c r="C19" s="5">
        <v>1476755.0</v>
      </c>
      <c r="D19" s="5">
        <v>1432719.0</v>
      </c>
      <c r="E19" s="5">
        <v>1449835.0</v>
      </c>
      <c r="F19" s="5">
        <v>1246694.0</v>
      </c>
      <c r="G19" s="5">
        <v>1242022.0</v>
      </c>
      <c r="H19" s="5">
        <v>1133482.0</v>
      </c>
      <c r="I19" s="5">
        <v>1270329.0</v>
      </c>
      <c r="J19" s="5">
        <v>1087142.0</v>
      </c>
      <c r="K19" s="5">
        <v>1138796.0</v>
      </c>
      <c r="L19" s="5">
        <v>1181496.0</v>
      </c>
      <c r="M19" s="5">
        <v>1065031.0</v>
      </c>
      <c r="N19" s="10">
        <f>SUM(B19:M19)</f>
        <v>15152838</v>
      </c>
    </row>
    <row r="20" ht="14.25" customHeight="1">
      <c r="A20" s="4" t="s">
        <v>234</v>
      </c>
      <c r="B20" s="5">
        <f>B8/(24*B13*Supuestos!$B$15)</f>
        <v>1021.455857</v>
      </c>
      <c r="C20" s="5">
        <f>C8/(24*C13*Supuestos!$B$15)</f>
        <v>1057.660819</v>
      </c>
      <c r="D20" s="5">
        <f>D8/(24*D13*Supuestos!$B$15)</f>
        <v>969.1944916</v>
      </c>
      <c r="E20" s="5">
        <f>E8/(24*E13*Supuestos!$B$15)</f>
        <v>991.2823052</v>
      </c>
      <c r="F20" s="5">
        <f>F8/(24*F13*Supuestos!$B$15)</f>
        <v>873.3576998</v>
      </c>
      <c r="G20" s="5">
        <f>G8/(24*G13*Supuestos!$B$15)</f>
        <v>846.7270326</v>
      </c>
      <c r="H20" s="5">
        <f>H8/(24*H13*Supuestos!$B$15)</f>
        <v>808.1652047</v>
      </c>
      <c r="I20" s="5">
        <f>I8/(24*I13*Supuestos!$B$15)</f>
        <v>924.9905678</v>
      </c>
      <c r="J20" s="5">
        <f>J8/(24*J13*Supuestos!$B$15)</f>
        <v>813.7851349</v>
      </c>
      <c r="K20" s="5">
        <f>K8/(24*K13*Supuestos!$B$15)</f>
        <v>914.7660819</v>
      </c>
      <c r="L20" s="5">
        <f>L8/(24*L13*Supuestos!$B$15)</f>
        <v>891.6430862</v>
      </c>
      <c r="M20" s="5">
        <f>M8/(24*M13*Supuestos!$B$15)</f>
        <v>802.5048733</v>
      </c>
    </row>
    <row r="21" ht="14.25" customHeight="1">
      <c r="A21" s="4" t="s">
        <v>124</v>
      </c>
      <c r="B21" s="23">
        <v>139.624</v>
      </c>
      <c r="C21" s="23">
        <v>127.44</v>
      </c>
      <c r="D21" s="23">
        <v>131.192</v>
      </c>
      <c r="E21" s="23">
        <v>123.256</v>
      </c>
      <c r="F21" s="23">
        <v>118.32</v>
      </c>
      <c r="G21" s="23">
        <v>121.768</v>
      </c>
      <c r="H21" s="23">
        <v>114.96</v>
      </c>
      <c r="I21" s="23">
        <v>112.592</v>
      </c>
      <c r="J21" s="23">
        <v>116.312</v>
      </c>
      <c r="K21" s="23">
        <v>113.792</v>
      </c>
      <c r="L21" s="23">
        <v>140.616</v>
      </c>
      <c r="M21" s="23">
        <v>139.92</v>
      </c>
      <c r="N21" s="24">
        <f>SUM(B21:M21)</f>
        <v>1499.792</v>
      </c>
    </row>
    <row r="22" ht="14.25" customHeight="1"/>
    <row r="23" ht="14.25" customHeight="1">
      <c r="A23" s="1" t="s">
        <v>125</v>
      </c>
    </row>
    <row r="24" ht="14.25" customHeight="1">
      <c r="A24" s="18" t="s">
        <v>126</v>
      </c>
      <c r="C24" s="2" t="s">
        <v>127</v>
      </c>
      <c r="D24" s="2" t="s">
        <v>128</v>
      </c>
    </row>
    <row r="25" ht="14.25" customHeight="1">
      <c r="A25" s="4" t="s">
        <v>129</v>
      </c>
      <c r="C25" s="4" t="s">
        <v>130</v>
      </c>
      <c r="D25" s="4" t="s">
        <v>131</v>
      </c>
    </row>
    <row r="26" ht="14.25" customHeight="1">
      <c r="A26" s="4" t="s">
        <v>132</v>
      </c>
      <c r="C26" s="25">
        <v>1100.0</v>
      </c>
      <c r="D26" s="25">
        <v>839.45</v>
      </c>
    </row>
    <row r="27" ht="14.25" customHeight="1">
      <c r="A27" s="4" t="s">
        <v>133</v>
      </c>
      <c r="C27" s="5">
        <f>C26*Supuestos!$B$24</f>
        <v>4400</v>
      </c>
      <c r="D27" s="5">
        <f>D26*Supuestos!$B$24</f>
        <v>3357.8</v>
      </c>
    </row>
    <row r="28" ht="14.25" customHeight="1">
      <c r="A28" s="4" t="s">
        <v>134</v>
      </c>
      <c r="C28" s="25">
        <v>981.0</v>
      </c>
      <c r="D28" s="25">
        <v>981.0</v>
      </c>
    </row>
    <row r="29" ht="14.25" customHeight="1">
      <c r="A29" s="4" t="s">
        <v>135</v>
      </c>
      <c r="C29" s="25">
        <v>1962.0</v>
      </c>
      <c r="D29" s="25">
        <v>1962.0</v>
      </c>
    </row>
    <row r="30" ht="14.25" customHeight="1">
      <c r="A30" s="4" t="s">
        <v>136</v>
      </c>
      <c r="C30" s="5">
        <f>C29*Supuestos!$B$13*SQRT(Supuestos!$B$14)</f>
        <v>1845.465168</v>
      </c>
      <c r="D30" s="5">
        <f>D29*Supuestos!$B$13*SQRT(Supuestos!$B$14)</f>
        <v>1845.465168</v>
      </c>
    </row>
    <row r="31" ht="14.25" customHeight="1">
      <c r="A31" s="4" t="s">
        <v>137</v>
      </c>
      <c r="C31" s="26">
        <v>1.5277786326517393</v>
      </c>
      <c r="D31" s="26">
        <v>1.787511045946629</v>
      </c>
    </row>
    <row r="32" ht="14.25" customHeight="1">
      <c r="A32" s="4" t="s">
        <v>138</v>
      </c>
      <c r="C32" s="8">
        <f>Supuestos!$B$17</f>
        <v>0.5</v>
      </c>
      <c r="D32" s="8">
        <f>Supuestos!$B$17</f>
        <v>0.5</v>
      </c>
    </row>
    <row r="33" ht="14.25" customHeight="1">
      <c r="A33" s="4" t="s">
        <v>139</v>
      </c>
      <c r="C33" s="5">
        <f>C26*1000*Supuestos!$B$5</f>
        <v>715000</v>
      </c>
      <c r="D33" s="5">
        <f>D26*1000*Supuestos!$B$5</f>
        <v>545642.5</v>
      </c>
    </row>
    <row r="34" ht="14.25" customHeight="1">
      <c r="A34" s="4" t="s">
        <v>140</v>
      </c>
      <c r="C34" s="5">
        <f>C33*Supuestos!$B$4</f>
        <v>12548250</v>
      </c>
      <c r="D34" s="5">
        <f>D33*Supuestos!$B$4</f>
        <v>9576025.875</v>
      </c>
    </row>
    <row r="35" ht="14.25" customHeight="1">
      <c r="A35" s="4" t="s">
        <v>141</v>
      </c>
      <c r="C35" s="5">
        <f>C29*1000*Supuestos!$B$7</f>
        <v>549360</v>
      </c>
      <c r="D35" s="5">
        <f>D29*1000*Supuestos!$B$7</f>
        <v>549360</v>
      </c>
    </row>
    <row r="36" ht="14.25" customHeight="1">
      <c r="A36" s="4" t="s">
        <v>142</v>
      </c>
      <c r="C36" s="5">
        <f>C35*Supuestos!$B$4</f>
        <v>9641268</v>
      </c>
      <c r="D36" s="5">
        <f>D35*Supuestos!$B$4</f>
        <v>9641268</v>
      </c>
    </row>
    <row r="37" ht="14.25" customHeight="1">
      <c r="A37" s="27" t="s">
        <v>143</v>
      </c>
      <c r="B37" s="28"/>
      <c r="C37" s="28"/>
      <c r="D37" s="28"/>
    </row>
    <row r="38" ht="14.25" customHeight="1">
      <c r="A38" s="4" t="s">
        <v>144</v>
      </c>
      <c r="C38" s="25">
        <v>0.0</v>
      </c>
      <c r="D38" s="5">
        <f>C38</f>
        <v>0</v>
      </c>
    </row>
    <row r="39" ht="14.25" customHeight="1">
      <c r="A39" s="4" t="s">
        <v>145</v>
      </c>
      <c r="C39" s="25">
        <f t="shared" ref="C39:D39" si="4">$N$19+C38</f>
        <v>15152838</v>
      </c>
      <c r="D39" s="25">
        <f t="shared" si="4"/>
        <v>15152838</v>
      </c>
    </row>
    <row r="40" ht="14.25" customHeight="1">
      <c r="A40" s="4" t="s">
        <v>146</v>
      </c>
      <c r="C40" s="5">
        <f t="shared" ref="C40:D40" si="5">C39-C38</f>
        <v>15152838</v>
      </c>
      <c r="D40" s="5">
        <f t="shared" si="5"/>
        <v>15152838</v>
      </c>
    </row>
    <row r="41" ht="14.25" customHeight="1">
      <c r="A41" s="4" t="s">
        <v>147</v>
      </c>
      <c r="C41" s="5">
        <f>C72</f>
        <v>1649771.2</v>
      </c>
      <c r="D41" s="5">
        <f>C89</f>
        <v>1259000.394</v>
      </c>
    </row>
    <row r="42" ht="14.25" customHeight="1">
      <c r="A42" s="4" t="s">
        <v>148</v>
      </c>
      <c r="C42" s="5">
        <f>K72</f>
        <v>1616886.218</v>
      </c>
      <c r="D42" s="5">
        <f>K89</f>
        <v>1259003.394</v>
      </c>
    </row>
    <row r="43" ht="14.25" customHeight="1">
      <c r="A43" s="4" t="s">
        <v>149</v>
      </c>
      <c r="C43" s="5">
        <f>M72</f>
        <v>3533310.706</v>
      </c>
      <c r="D43" s="5">
        <f>M89</f>
        <v>2767113.349</v>
      </c>
    </row>
    <row r="44" ht="14.25" customHeight="1">
      <c r="A44" s="4" t="s">
        <v>150</v>
      </c>
      <c r="C44" s="5">
        <f>R72*(12-Supuestos!$B$16)/12</f>
        <v>2744097.633</v>
      </c>
      <c r="D44" s="5">
        <f>R89*(12-Supuestos!$B$16)/12</f>
        <v>2744097.633</v>
      </c>
    </row>
    <row r="45" ht="14.25" customHeight="1">
      <c r="A45" s="3" t="s">
        <v>151</v>
      </c>
      <c r="C45" s="7">
        <f t="shared" ref="C45:D45" si="6">C43+C44</f>
        <v>6277408.339</v>
      </c>
      <c r="D45" s="7">
        <f t="shared" si="6"/>
        <v>5511210.982</v>
      </c>
    </row>
    <row r="46" ht="14.25" customHeight="1">
      <c r="A46" s="4" t="s">
        <v>152</v>
      </c>
      <c r="C46" s="5">
        <f t="shared" ref="C46:D46" si="7">C42*C31</f>
        <v>2017227.245</v>
      </c>
      <c r="D46" s="5">
        <f t="shared" si="7"/>
        <v>1539383.45</v>
      </c>
    </row>
    <row r="47" ht="14.25" customHeight="1">
      <c r="A47" s="4" t="s">
        <v>153</v>
      </c>
      <c r="C47" s="5">
        <f t="shared" ref="C47:D47" si="8">C44*C32</f>
        <v>1372048.816</v>
      </c>
      <c r="D47" s="5">
        <f t="shared" si="8"/>
        <v>1372048.816</v>
      </c>
    </row>
    <row r="48" ht="14.25" customHeight="1">
      <c r="A48" s="3" t="s">
        <v>154</v>
      </c>
      <c r="C48" s="7">
        <f t="shared" ref="C48:D48" si="9">C45-C46-C47</f>
        <v>2888132.277</v>
      </c>
      <c r="D48" s="7">
        <f t="shared" si="9"/>
        <v>2599778.715</v>
      </c>
    </row>
    <row r="49" ht="14.25" customHeight="1">
      <c r="A49" s="4" t="s">
        <v>155</v>
      </c>
      <c r="C49" s="8">
        <f t="shared" ref="C49:D49" si="10">C45/$N$19</f>
        <v>0.414272781</v>
      </c>
      <c r="D49" s="8">
        <f t="shared" si="10"/>
        <v>0.3637081702</v>
      </c>
    </row>
    <row r="50" ht="14.25" customHeight="1">
      <c r="A50" s="4" t="s">
        <v>156</v>
      </c>
      <c r="C50" s="8">
        <f t="shared" ref="C50:D50" si="11">C48/$N$19</f>
        <v>0.1906000894</v>
      </c>
      <c r="D50" s="8">
        <f t="shared" si="11"/>
        <v>0.1715704157</v>
      </c>
    </row>
    <row r="51" ht="14.25" customHeight="1">
      <c r="A51" s="4" t="s">
        <v>157</v>
      </c>
      <c r="C51" s="8">
        <f>IRR(M94:M114)</f>
        <v>0.1431576482</v>
      </c>
      <c r="D51" s="8">
        <f>IRR(M119:M139)</f>
        <v>0.1431525519</v>
      </c>
    </row>
    <row r="52" ht="14.25" customHeight="1">
      <c r="A52" s="4" t="s">
        <v>158</v>
      </c>
      <c r="C52" s="8">
        <f>IRR(N94:N114)</f>
        <v>0.09305573228</v>
      </c>
      <c r="D52" s="8">
        <f>IRR(N119:N139)</f>
        <v>0.09305573228</v>
      </c>
    </row>
    <row r="53" ht="14.25" customHeight="1">
      <c r="A53" s="4" t="s">
        <v>159</v>
      </c>
      <c r="C53" s="8">
        <v>0.6564</v>
      </c>
      <c r="D53" s="8">
        <v>0.6564</v>
      </c>
    </row>
    <row r="54" ht="14.25" customHeight="1">
      <c r="A54" s="4" t="s">
        <v>160</v>
      </c>
      <c r="C54" s="19">
        <f>COUNTIF(O94:O114,"&lt;0")</f>
        <v>7</v>
      </c>
      <c r="D54" s="19">
        <f>COUNTIF(O119:O139,"&lt;0")</f>
        <v>7</v>
      </c>
    </row>
    <row r="55" ht="14.25" customHeight="1">
      <c r="A55" s="4" t="s">
        <v>161</v>
      </c>
      <c r="C55" s="5">
        <f t="array" ref="C55">NPV(Supuestos!$B$21,J95:J114)</f>
        <v>32544738.22</v>
      </c>
      <c r="D55" s="5">
        <f t="array" ref="D55">NPV(Supuestos!$B$21,J120:J139)</f>
        <v>29009150.96</v>
      </c>
    </row>
    <row r="56" ht="14.25" customHeight="1"/>
    <row r="57" ht="14.25" customHeight="1"/>
    <row r="58" ht="14.25" customHeight="1">
      <c r="A58" s="1" t="s">
        <v>162</v>
      </c>
    </row>
    <row r="59" ht="14.25" customHeight="1">
      <c r="B59" s="2" t="s">
        <v>92</v>
      </c>
      <c r="C59" s="2" t="s">
        <v>163</v>
      </c>
      <c r="D59" s="2" t="s">
        <v>164</v>
      </c>
      <c r="E59" s="2" t="s">
        <v>165</v>
      </c>
      <c r="F59" s="2" t="s">
        <v>166</v>
      </c>
      <c r="G59" s="2" t="s">
        <v>167</v>
      </c>
      <c r="H59" s="2" t="s">
        <v>168</v>
      </c>
      <c r="I59" s="2" t="s">
        <v>169</v>
      </c>
      <c r="J59" s="2" t="s">
        <v>170</v>
      </c>
      <c r="K59" s="2" t="s">
        <v>171</v>
      </c>
      <c r="L59" s="2" t="s">
        <v>172</v>
      </c>
      <c r="M59" s="2" t="s">
        <v>173</v>
      </c>
      <c r="N59" s="2" t="s">
        <v>174</v>
      </c>
      <c r="O59" s="2" t="s">
        <v>175</v>
      </c>
      <c r="P59" s="2" t="s">
        <v>176</v>
      </c>
      <c r="Q59" s="2" t="s">
        <v>177</v>
      </c>
      <c r="R59" s="2" t="s">
        <v>178</v>
      </c>
      <c r="S59" s="3" t="s">
        <v>179</v>
      </c>
      <c r="T59" s="3" t="s">
        <v>180</v>
      </c>
    </row>
    <row r="60" ht="14.25" customHeight="1">
      <c r="B60" s="4" t="s">
        <v>93</v>
      </c>
      <c r="C60" s="5">
        <f>$C$26*B$21</f>
        <v>153586.4</v>
      </c>
      <c r="D60" s="8">
        <v>0.1278567056893206</v>
      </c>
      <c r="E60" s="8">
        <v>0.8709713124894196</v>
      </c>
      <c r="F60" s="8">
        <v>0.0</v>
      </c>
      <c r="G60" s="5">
        <f t="shared" ref="G60:G71" si="12">C60*D60</f>
        <v>19637.05114</v>
      </c>
      <c r="H60" s="5">
        <f t="shared" ref="H60:H71" si="13">C60*E60</f>
        <v>133769.3484</v>
      </c>
      <c r="I60" s="5">
        <f t="shared" ref="I60:I71" si="14">C60*F60</f>
        <v>0</v>
      </c>
      <c r="J60" s="5">
        <f>G60*B$14+H60*B$15+I60*B$16</f>
        <v>323128.2885</v>
      </c>
      <c r="K60" s="5">
        <f t="shared" ref="K60:K71" si="15">G60+H60+I60</f>
        <v>153406.3995</v>
      </c>
      <c r="L60" s="25">
        <v>13484.0</v>
      </c>
      <c r="M60" s="5">
        <f t="shared" ref="M60:M71" si="16">J60+L60*$C$26/1100</f>
        <v>336612.2885</v>
      </c>
      <c r="N60" s="5">
        <f>MIN($C$30*B$11,$C$28*B$12*B$11,B$7)</f>
        <v>30661</v>
      </c>
      <c r="O60" s="5">
        <f>N60/Supuestos!$B$14*B$14</f>
        <v>41960.85604</v>
      </c>
      <c r="P60" s="5">
        <f>N60*B$16-O60</f>
        <v>34142.81206</v>
      </c>
      <c r="Q60" s="5">
        <f>294283*MIN(1,$C$30/1845)</f>
        <v>294283</v>
      </c>
      <c r="R60" s="5">
        <f t="shared" ref="R60:R71" si="17">P60+Q60</f>
        <v>328425.8121</v>
      </c>
      <c r="S60" s="5">
        <f>Q60/B$17</f>
        <v>696.841183</v>
      </c>
      <c r="T60" s="5">
        <f>B$9-S60</f>
        <v>0.1588169828</v>
      </c>
    </row>
    <row r="61" ht="14.25" customHeight="1">
      <c r="B61" s="4" t="s">
        <v>94</v>
      </c>
      <c r="C61" s="5">
        <f>$C$26*C$21</f>
        <v>140184</v>
      </c>
      <c r="D61" s="8">
        <v>0.1666666666666667</v>
      </c>
      <c r="E61" s="8">
        <v>0.8333333333333334</v>
      </c>
      <c r="F61" s="8">
        <v>0.0</v>
      </c>
      <c r="G61" s="5">
        <f t="shared" si="12"/>
        <v>23364</v>
      </c>
      <c r="H61" s="5">
        <f t="shared" si="13"/>
        <v>116820</v>
      </c>
      <c r="I61" s="5">
        <f t="shared" si="14"/>
        <v>0</v>
      </c>
      <c r="J61" s="5">
        <f>G61*C$14+H61*C$15+I61*C$16</f>
        <v>296603.6436</v>
      </c>
      <c r="K61" s="5">
        <f t="shared" si="15"/>
        <v>140184</v>
      </c>
      <c r="L61" s="25">
        <v>12249.0</v>
      </c>
      <c r="M61" s="5">
        <f t="shared" si="16"/>
        <v>308852.6436</v>
      </c>
      <c r="N61" s="5">
        <f>MIN($C$30*C$11,$C$28*C$12*C$11,C$7)</f>
        <v>30139</v>
      </c>
      <c r="O61" s="5">
        <f>N61/Supuestos!$B$14*C$14</f>
        <v>42081.57875</v>
      </c>
      <c r="P61" s="5">
        <f>N61*C$16-O61</f>
        <v>34365.99475</v>
      </c>
      <c r="Q61" s="5">
        <f>310245*MIN(1,$C$30/1845)</f>
        <v>310245</v>
      </c>
      <c r="R61" s="5">
        <f t="shared" si="17"/>
        <v>344610.9948</v>
      </c>
      <c r="S61" s="5">
        <f>Q61/C$17</f>
        <v>717.5949484</v>
      </c>
      <c r="T61" s="5">
        <f>C$9-S61</f>
        <v>0.4050515798</v>
      </c>
    </row>
    <row r="62" ht="14.25" customHeight="1">
      <c r="B62" s="4" t="s">
        <v>95</v>
      </c>
      <c r="C62" s="5">
        <f>$C$26*D$21</f>
        <v>144311.2</v>
      </c>
      <c r="D62" s="8">
        <v>0.1170111772491356</v>
      </c>
      <c r="E62" s="8">
        <v>0.8709661772144881</v>
      </c>
      <c r="F62" s="8">
        <v>0.0</v>
      </c>
      <c r="G62" s="5">
        <f t="shared" si="12"/>
        <v>16886.0234</v>
      </c>
      <c r="H62" s="5">
        <f t="shared" si="13"/>
        <v>125690.1742</v>
      </c>
      <c r="I62" s="5">
        <f t="shared" si="14"/>
        <v>0</v>
      </c>
      <c r="J62" s="5">
        <f>G62*D$14+H62*D$15+I62*D$16</f>
        <v>312275.8154</v>
      </c>
      <c r="K62" s="5">
        <f t="shared" si="15"/>
        <v>142576.1976</v>
      </c>
      <c r="L62" s="25">
        <v>18302.0</v>
      </c>
      <c r="M62" s="5">
        <f t="shared" si="16"/>
        <v>330577.8154</v>
      </c>
      <c r="N62" s="5">
        <f>MIN($C$30*D$11,$C$28*D$12*D$11,D$7)</f>
        <v>34785</v>
      </c>
      <c r="O62" s="5">
        <f>N62/Supuestos!$B$14*D$14</f>
        <v>49191.7875</v>
      </c>
      <c r="P62" s="5">
        <f>N62*D$16-O62</f>
        <v>40261.3185</v>
      </c>
      <c r="Q62" s="5">
        <f>331834*MIN(1,$C$30/1845)</f>
        <v>331834</v>
      </c>
      <c r="R62" s="5">
        <f t="shared" si="17"/>
        <v>372095.3185</v>
      </c>
      <c r="S62" s="5">
        <f>Q62/D$17</f>
        <v>756.1961624</v>
      </c>
      <c r="T62" s="5">
        <f>D$9-S62</f>
        <v>-0.1961624356</v>
      </c>
    </row>
    <row r="63" ht="14.25" customHeight="1">
      <c r="B63" s="4" t="s">
        <v>96</v>
      </c>
      <c r="C63" s="5">
        <f>$C$26*E$21</f>
        <v>135581.6</v>
      </c>
      <c r="D63" s="8">
        <v>0.1571373781180393</v>
      </c>
      <c r="E63" s="8">
        <v>0.8387101532651827</v>
      </c>
      <c r="F63" s="8">
        <v>0.0</v>
      </c>
      <c r="G63" s="5">
        <f t="shared" si="12"/>
        <v>21304.93715</v>
      </c>
      <c r="H63" s="5">
        <f t="shared" si="13"/>
        <v>113713.6645</v>
      </c>
      <c r="I63" s="5">
        <f t="shared" si="14"/>
        <v>0</v>
      </c>
      <c r="J63" s="5">
        <f>G63*E$14+H63*E$15+I63*E$16</f>
        <v>291069.7978</v>
      </c>
      <c r="K63" s="5">
        <f t="shared" si="15"/>
        <v>135018.6017</v>
      </c>
      <c r="L63" s="25">
        <v>8309.0</v>
      </c>
      <c r="M63" s="5">
        <f t="shared" si="16"/>
        <v>299378.7978</v>
      </c>
      <c r="N63" s="5">
        <f>MIN($C$30*E$11,$C$28*E$12*E$11,E$7)</f>
        <v>28280</v>
      </c>
      <c r="O63" s="5">
        <f>N63/Supuestos!$B$14*E$14</f>
        <v>40042.7125</v>
      </c>
      <c r="P63" s="5">
        <f>N63*E$16-O63</f>
        <v>32775.4595</v>
      </c>
      <c r="Q63" s="5">
        <f>295883*MIN(1,$C$30/1845)</f>
        <v>295883</v>
      </c>
      <c r="R63" s="5">
        <f t="shared" si="17"/>
        <v>328658.4595</v>
      </c>
      <c r="S63" s="5">
        <f>Q63/E$17</f>
        <v>673.3336368</v>
      </c>
      <c r="T63" s="5">
        <f>E$9-S63</f>
        <v>-0.3336367567</v>
      </c>
    </row>
    <row r="64" ht="14.25" customHeight="1">
      <c r="B64" s="4" t="s">
        <v>97</v>
      </c>
      <c r="C64" s="5">
        <f>$C$26*F$21</f>
        <v>130152</v>
      </c>
      <c r="D64" s="8">
        <v>0.1264214149609687</v>
      </c>
      <c r="E64" s="8">
        <v>0.8666635933370214</v>
      </c>
      <c r="F64" s="8">
        <v>0.0</v>
      </c>
      <c r="G64" s="5">
        <f t="shared" si="12"/>
        <v>16454</v>
      </c>
      <c r="H64" s="5">
        <f t="shared" si="13"/>
        <v>112798</v>
      </c>
      <c r="I64" s="5">
        <f t="shared" si="14"/>
        <v>0</v>
      </c>
      <c r="J64" s="5">
        <f>G64*F$14+H64*F$15+I64*F$16</f>
        <v>280542.1862</v>
      </c>
      <c r="K64" s="5">
        <f t="shared" si="15"/>
        <v>129252</v>
      </c>
      <c r="L64" s="25">
        <v>10359.0</v>
      </c>
      <c r="M64" s="5">
        <f t="shared" si="16"/>
        <v>290901.1862</v>
      </c>
      <c r="N64" s="5">
        <f>MIN($C$30*F$11,$C$28*F$12*F$11,F$7)</f>
        <v>26471</v>
      </c>
      <c r="O64" s="5">
        <f>N64/Supuestos!$B$14*F$14</f>
        <v>37299.29344</v>
      </c>
      <c r="P64" s="5">
        <f>N64*F$16-O64</f>
        <v>30392.34776</v>
      </c>
      <c r="Q64" s="5">
        <f>261949*MIN(1,$C$30/1845)</f>
        <v>261949</v>
      </c>
      <c r="R64" s="5">
        <f t="shared" si="17"/>
        <v>292341.3478</v>
      </c>
      <c r="S64" s="5">
        <f>Q64/F$17</f>
        <v>601.6145702</v>
      </c>
      <c r="T64" s="5">
        <f>F$9-S64</f>
        <v>0.3854298248</v>
      </c>
    </row>
    <row r="65" ht="14.25" customHeight="1">
      <c r="B65" s="4" t="s">
        <v>98</v>
      </c>
      <c r="C65" s="5">
        <f>$C$26*G$21</f>
        <v>133944.8</v>
      </c>
      <c r="D65" s="8">
        <v>0.1198103699279555</v>
      </c>
      <c r="E65" s="8">
        <v>0.8657583336444062</v>
      </c>
      <c r="F65" s="8">
        <v>0.002545821045951697</v>
      </c>
      <c r="G65" s="5">
        <f t="shared" si="12"/>
        <v>16047.97604</v>
      </c>
      <c r="H65" s="5">
        <f t="shared" si="13"/>
        <v>115963.8268</v>
      </c>
      <c r="I65" s="5">
        <f t="shared" si="14"/>
        <v>340.9994908</v>
      </c>
      <c r="J65" s="5">
        <f>G65*G$14+H65*G$15+I65*G$16</f>
        <v>288114.0718</v>
      </c>
      <c r="K65" s="5">
        <f t="shared" si="15"/>
        <v>132352.8024</v>
      </c>
      <c r="L65" s="25">
        <v>23419.0</v>
      </c>
      <c r="M65" s="5">
        <f t="shared" si="16"/>
        <v>311533.0718</v>
      </c>
      <c r="N65" s="5">
        <f>MIN($C$30*G$11,$C$28*G$12*G$11,G$7)</f>
        <v>35922</v>
      </c>
      <c r="O65" s="5">
        <f>N65/Supuestos!$B$14*G$14</f>
        <v>50616.34313</v>
      </c>
      <c r="P65" s="5">
        <f>N65*G$16-O65</f>
        <v>41243.39528</v>
      </c>
      <c r="Q65" s="5">
        <f>200884*MIN(1,$C$30/1845)</f>
        <v>200884</v>
      </c>
      <c r="R65" s="5">
        <f t="shared" si="17"/>
        <v>242127.3953</v>
      </c>
      <c r="S65" s="5">
        <f>Q65/G$17</f>
        <v>461.3674468</v>
      </c>
      <c r="T65" s="5">
        <f>G$9-S65</f>
        <v>255.6325532</v>
      </c>
    </row>
    <row r="66" ht="14.25" customHeight="1">
      <c r="B66" s="4" t="s">
        <v>99</v>
      </c>
      <c r="C66" s="5">
        <f>$C$26*H$21</f>
        <v>126456</v>
      </c>
      <c r="D66" s="8">
        <v>0.152685519073828</v>
      </c>
      <c r="E66" s="8">
        <v>0.814900044284178</v>
      </c>
      <c r="F66" s="8">
        <v>0.01051749225026887</v>
      </c>
      <c r="G66" s="5">
        <f t="shared" si="12"/>
        <v>19308</v>
      </c>
      <c r="H66" s="5">
        <f t="shared" si="13"/>
        <v>103049</v>
      </c>
      <c r="I66" s="5">
        <f t="shared" si="14"/>
        <v>1330</v>
      </c>
      <c r="J66" s="5">
        <f>G66*H$14+H66*H$15+I66*H$16</f>
        <v>258244.979</v>
      </c>
      <c r="K66" s="5">
        <f t="shared" si="15"/>
        <v>123687</v>
      </c>
      <c r="L66" s="25">
        <v>19529.0</v>
      </c>
      <c r="M66" s="5">
        <f t="shared" si="16"/>
        <v>277773.979</v>
      </c>
      <c r="N66" s="5">
        <f>MIN($C$30*H$11,$C$28*H$12*H$11,H$7)</f>
        <v>46136.6292</v>
      </c>
      <c r="O66" s="5">
        <f>N66/Supuestos!$B$14*H$14</f>
        <v>63341.74718</v>
      </c>
      <c r="P66" s="5">
        <f>N66*H$16-O66</f>
        <v>51372.36767</v>
      </c>
      <c r="Q66" s="5">
        <f>194853*MIN(1,$C$30/1845)</f>
        <v>194853</v>
      </c>
      <c r="R66" s="5">
        <f t="shared" si="17"/>
        <v>246225.3677</v>
      </c>
      <c r="S66" s="5">
        <f>Q66/H$17</f>
        <v>461.3652507</v>
      </c>
      <c r="T66" s="5">
        <f>H$9-S66</f>
        <v>197.6347493</v>
      </c>
    </row>
    <row r="67" ht="14.25" customHeight="1">
      <c r="B67" s="4" t="s">
        <v>100</v>
      </c>
      <c r="C67" s="5">
        <f>$C$26*I$21</f>
        <v>123851.2</v>
      </c>
      <c r="D67" s="8">
        <v>0.1284931086547545</v>
      </c>
      <c r="E67" s="8">
        <v>0.8572639704160645</v>
      </c>
      <c r="F67" s="8">
        <v>0.01169954219182728</v>
      </c>
      <c r="G67" s="5">
        <f t="shared" si="12"/>
        <v>15914.0257</v>
      </c>
      <c r="H67" s="5">
        <f t="shared" si="13"/>
        <v>106173.1715</v>
      </c>
      <c r="I67" s="5">
        <f t="shared" si="14"/>
        <v>1449.00234</v>
      </c>
      <c r="J67" s="5">
        <f>G67*I$14+H67*I$15+I67*I$16</f>
        <v>249202.2272</v>
      </c>
      <c r="K67" s="5">
        <f t="shared" si="15"/>
        <v>123536.1995</v>
      </c>
      <c r="L67" s="25">
        <v>17244.0</v>
      </c>
      <c r="M67" s="5">
        <f t="shared" si="16"/>
        <v>266446.2272</v>
      </c>
      <c r="N67" s="5">
        <f>MIN($C$30*I$11,$C$28*I$12*I$11,I$7)</f>
        <v>49827.55954</v>
      </c>
      <c r="O67" s="5">
        <f>N67/Supuestos!$B$14*I$14</f>
        <v>65502.47931</v>
      </c>
      <c r="P67" s="5">
        <f>N67*I$16-O67</f>
        <v>52688.49192</v>
      </c>
      <c r="Q67" s="5">
        <f>185114*MIN(1,$C$30/1845)</f>
        <v>185114</v>
      </c>
      <c r="R67" s="5">
        <f t="shared" si="17"/>
        <v>237802.4919</v>
      </c>
      <c r="S67" s="5">
        <f>Q67/I$17</f>
        <v>461.3662986</v>
      </c>
      <c r="T67" s="5">
        <f>I$9-S67</f>
        <v>248.6337014</v>
      </c>
    </row>
    <row r="68" ht="14.25" customHeight="1">
      <c r="B68" s="4" t="s">
        <v>101</v>
      </c>
      <c r="C68" s="5">
        <f>$C$26*J$21</f>
        <v>127943.2</v>
      </c>
      <c r="D68" s="8">
        <v>0.1261733740806453</v>
      </c>
      <c r="E68" s="8">
        <v>0.8506913234799872</v>
      </c>
      <c r="F68" s="8">
        <v>0.01119248415309943</v>
      </c>
      <c r="G68" s="5">
        <f t="shared" si="12"/>
        <v>16143.02523</v>
      </c>
      <c r="H68" s="5">
        <f t="shared" si="13"/>
        <v>108840.1701</v>
      </c>
      <c r="I68" s="5">
        <f t="shared" si="14"/>
        <v>1432.002238</v>
      </c>
      <c r="J68" s="5">
        <f>G68*J$14+H68*J$15+I68*J$16</f>
        <v>249548.4791</v>
      </c>
      <c r="K68" s="5">
        <f t="shared" si="15"/>
        <v>126415.1976</v>
      </c>
      <c r="L68" s="25">
        <v>15239.0</v>
      </c>
      <c r="M68" s="5">
        <f t="shared" si="16"/>
        <v>264787.4791</v>
      </c>
      <c r="N68" s="5">
        <f>MIN($C$30*J$11,$C$28*J$12*J$11,J$7)</f>
        <v>49827.55954</v>
      </c>
      <c r="O68" s="5">
        <f>N68/Supuestos!$B$14*J$14</f>
        <v>64101.0792</v>
      </c>
      <c r="P68" s="5">
        <f>N68*J$16-O68</f>
        <v>51498.85893</v>
      </c>
      <c r="Q68" s="5">
        <f>180947*MIN(1,$C$30/1845)</f>
        <v>180947</v>
      </c>
      <c r="R68" s="5">
        <f t="shared" si="17"/>
        <v>232445.8589</v>
      </c>
      <c r="S68" s="5">
        <f>Q68/J$17</f>
        <v>461.3640999</v>
      </c>
      <c r="T68" s="5">
        <f>J$9-S68</f>
        <v>146.6359001</v>
      </c>
    </row>
    <row r="69" ht="14.25" customHeight="1">
      <c r="B69" s="4" t="s">
        <v>102</v>
      </c>
      <c r="C69" s="5">
        <f>$C$26*K$21</f>
        <v>125171.2</v>
      </c>
      <c r="D69" s="8">
        <v>0.144730009347213</v>
      </c>
      <c r="E69" s="8">
        <v>0.8398351055755726</v>
      </c>
      <c r="F69" s="8">
        <v>0.01126459004082415</v>
      </c>
      <c r="G69" s="5">
        <f t="shared" si="12"/>
        <v>18116.02895</v>
      </c>
      <c r="H69" s="5">
        <f t="shared" si="13"/>
        <v>105123.168</v>
      </c>
      <c r="I69" s="5">
        <f t="shared" si="14"/>
        <v>1410.002253</v>
      </c>
      <c r="J69" s="5">
        <f>G69*K$14+H69*K$15+I69*K$16</f>
        <v>244334.2766</v>
      </c>
      <c r="K69" s="5">
        <f t="shared" si="15"/>
        <v>124649.1992</v>
      </c>
      <c r="L69" s="25">
        <v>12852.0</v>
      </c>
      <c r="M69" s="5">
        <f t="shared" si="16"/>
        <v>257186.2766</v>
      </c>
      <c r="N69" s="5">
        <f>MIN($C$30*K$11,$C$28*K$12*K$11,K$7)</f>
        <v>44291.16404</v>
      </c>
      <c r="O69" s="5">
        <f>N69/Supuestos!$B$14*K$14</f>
        <v>57006.41904</v>
      </c>
      <c r="P69" s="5">
        <f>N69*K$16-O69</f>
        <v>45802.23091</v>
      </c>
      <c r="Q69" s="5">
        <f>181054*MIN(1,$C$30/1845)</f>
        <v>181054</v>
      </c>
      <c r="R69" s="5">
        <f t="shared" si="17"/>
        <v>226856.2309</v>
      </c>
      <c r="S69" s="5">
        <f>Q69/K$17</f>
        <v>461.3663583</v>
      </c>
      <c r="T69" s="5">
        <f>K$9-S69</f>
        <v>180.6336417</v>
      </c>
    </row>
    <row r="70" ht="14.25" customHeight="1">
      <c r="B70" s="4" t="s">
        <v>103</v>
      </c>
      <c r="C70" s="5">
        <f>$C$26*L$21</f>
        <v>154677.6</v>
      </c>
      <c r="D70" s="8">
        <v>0.1523681454376188</v>
      </c>
      <c r="E70" s="8">
        <v>0.7860199899145321</v>
      </c>
      <c r="F70" s="8">
        <v>0.01119099031536482</v>
      </c>
      <c r="G70" s="5">
        <f t="shared" si="12"/>
        <v>23567.93905</v>
      </c>
      <c r="H70" s="5">
        <f t="shared" si="13"/>
        <v>121579.6856</v>
      </c>
      <c r="I70" s="5">
        <f t="shared" si="14"/>
        <v>1730.995524</v>
      </c>
      <c r="J70" s="5">
        <f>G70*L$14+H70*L$15+I70*L$16</f>
        <v>286198.723</v>
      </c>
      <c r="K70" s="5">
        <f t="shared" si="15"/>
        <v>146878.6202</v>
      </c>
      <c r="L70" s="25">
        <v>13841.0</v>
      </c>
      <c r="M70" s="5">
        <f t="shared" si="16"/>
        <v>300039.723</v>
      </c>
      <c r="N70" s="5">
        <f>MIN($C$30*L$11,$C$28*L$12*L$11,L$7)</f>
        <v>47982.09437</v>
      </c>
      <c r="O70" s="5">
        <f>N70/Supuestos!$B$14*L$14</f>
        <v>61786.94277</v>
      </c>
      <c r="P70" s="5">
        <f>N70*L$16-O70</f>
        <v>49651.4714</v>
      </c>
      <c r="Q70" s="5">
        <f>181160*MIN(1,$C$30/1845)</f>
        <v>181160</v>
      </c>
      <c r="R70" s="5">
        <f t="shared" si="17"/>
        <v>230811.4714</v>
      </c>
      <c r="S70" s="5">
        <f>Q70/L$17</f>
        <v>461.3660673</v>
      </c>
      <c r="T70" s="5">
        <f>L$9-S70</f>
        <v>169.6339327</v>
      </c>
    </row>
    <row r="71" ht="14.25" customHeight="1">
      <c r="B71" s="4" t="s">
        <v>104</v>
      </c>
      <c r="C71" s="5">
        <f>$C$26*M$21</f>
        <v>153912</v>
      </c>
      <c r="D71" s="8">
        <v>0.1049820676750351</v>
      </c>
      <c r="E71" s="8">
        <v>0.7960977701543739</v>
      </c>
      <c r="F71" s="8">
        <v>0.001578824263215344</v>
      </c>
      <c r="G71" s="5">
        <f t="shared" si="12"/>
        <v>16158</v>
      </c>
      <c r="H71" s="5">
        <f t="shared" si="13"/>
        <v>122529</v>
      </c>
      <c r="I71" s="5">
        <f t="shared" si="14"/>
        <v>243</v>
      </c>
      <c r="J71" s="5">
        <f>G71*M$14+H71*M$15+I71*M$16</f>
        <v>275546.2176</v>
      </c>
      <c r="K71" s="5">
        <f t="shared" si="15"/>
        <v>138930</v>
      </c>
      <c r="L71" s="25">
        <v>13675.0</v>
      </c>
      <c r="M71" s="5">
        <f t="shared" si="16"/>
        <v>289221.2176</v>
      </c>
      <c r="N71" s="5">
        <f>MIN($C$30*M$11,$C$28*M$12*M$11,M$7)</f>
        <v>28376</v>
      </c>
      <c r="O71" s="5">
        <f>N71/Supuestos!$B$14*M$14</f>
        <v>36540.01167</v>
      </c>
      <c r="P71" s="5">
        <f>N71*M$16-O71</f>
        <v>29360.41073</v>
      </c>
      <c r="Q71" s="5">
        <f>181156*MIN(1,$C$30/1845)</f>
        <v>181156</v>
      </c>
      <c r="R71" s="5">
        <f t="shared" si="17"/>
        <v>210516.4107</v>
      </c>
      <c r="S71" s="5">
        <f>Q71/M$17</f>
        <v>461.3676302</v>
      </c>
      <c r="T71" s="5">
        <f>M$9-S71</f>
        <v>150.6323698</v>
      </c>
    </row>
    <row r="72" ht="14.25" customHeight="1">
      <c r="B72" s="3" t="s">
        <v>105</v>
      </c>
      <c r="C72" s="10">
        <f>SUM(C60:C71)</f>
        <v>1649771.2</v>
      </c>
      <c r="G72" s="10">
        <f t="shared" ref="G72:K72" si="18">SUM(G60:G71)</f>
        <v>222901.0067</v>
      </c>
      <c r="H72" s="10">
        <f t="shared" si="18"/>
        <v>1386049.209</v>
      </c>
      <c r="I72" s="10">
        <f t="shared" si="18"/>
        <v>7936.001846</v>
      </c>
      <c r="J72" s="10">
        <f t="shared" si="18"/>
        <v>3354808.706</v>
      </c>
      <c r="K72" s="10">
        <f t="shared" si="18"/>
        <v>1616886.218</v>
      </c>
      <c r="M72" s="10">
        <f t="shared" ref="M72:R72" si="19">SUM(M60:M71)</f>
        <v>3533310.706</v>
      </c>
      <c r="N72" s="10">
        <f t="shared" si="19"/>
        <v>452699.0067</v>
      </c>
      <c r="O72" s="10">
        <f t="shared" si="19"/>
        <v>609471.2505</v>
      </c>
      <c r="P72" s="10">
        <f t="shared" si="19"/>
        <v>493555.1594</v>
      </c>
      <c r="Q72" s="10">
        <f t="shared" si="19"/>
        <v>2799362</v>
      </c>
      <c r="R72" s="10">
        <f t="shared" si="19"/>
        <v>3292917.159</v>
      </c>
      <c r="S72" s="5">
        <f t="shared" ref="S72:T72" si="20">AVERAGE(S60:S71)</f>
        <v>556.2619711</v>
      </c>
      <c r="T72" s="5">
        <f t="shared" si="20"/>
        <v>112.4880289</v>
      </c>
    </row>
    <row r="73" ht="14.25" customHeight="1">
      <c r="A73" s="29" t="s">
        <v>181</v>
      </c>
    </row>
    <row r="74" ht="14.25" customHeight="1"/>
    <row r="75" ht="14.25" customHeight="1">
      <c r="A75" s="1" t="s">
        <v>182</v>
      </c>
    </row>
    <row r="76" ht="14.25" customHeight="1">
      <c r="B76" s="2" t="s">
        <v>92</v>
      </c>
      <c r="C76" s="2" t="s">
        <v>163</v>
      </c>
      <c r="D76" s="2" t="s">
        <v>164</v>
      </c>
      <c r="E76" s="2" t="s">
        <v>165</v>
      </c>
      <c r="F76" s="2" t="s">
        <v>166</v>
      </c>
      <c r="G76" s="2" t="s">
        <v>167</v>
      </c>
      <c r="H76" s="2" t="s">
        <v>168</v>
      </c>
      <c r="I76" s="2" t="s">
        <v>169</v>
      </c>
      <c r="J76" s="2" t="s">
        <v>170</v>
      </c>
      <c r="K76" s="2" t="s">
        <v>171</v>
      </c>
      <c r="L76" s="2" t="s">
        <v>172</v>
      </c>
      <c r="M76" s="2" t="s">
        <v>173</v>
      </c>
      <c r="N76" s="2" t="s">
        <v>174</v>
      </c>
      <c r="O76" s="2" t="s">
        <v>175</v>
      </c>
      <c r="P76" s="2" t="s">
        <v>176</v>
      </c>
      <c r="Q76" s="2" t="s">
        <v>177</v>
      </c>
      <c r="R76" s="2" t="s">
        <v>178</v>
      </c>
      <c r="S76" s="3" t="s">
        <v>179</v>
      </c>
      <c r="T76" s="3" t="s">
        <v>180</v>
      </c>
    </row>
    <row r="77" ht="14.25" customHeight="1">
      <c r="B77" s="4" t="s">
        <v>93</v>
      </c>
      <c r="C77" s="5">
        <f>$D$26*B$21</f>
        <v>117207.3668</v>
      </c>
      <c r="D77" s="8">
        <v>0.1290366616328376</v>
      </c>
      <c r="E77" s="8">
        <v>0.8709718702807853</v>
      </c>
      <c r="F77" s="8">
        <v>0.0</v>
      </c>
      <c r="G77" s="5">
        <f t="shared" ref="G77:G88" si="21">C77*D77</f>
        <v>15124.04733</v>
      </c>
      <c r="H77" s="5">
        <f t="shared" ref="H77:H88" si="22">C77*E77</f>
        <v>102084.3195</v>
      </c>
      <c r="I77" s="5">
        <f t="shared" ref="I77:I88" si="23">C77*F77</f>
        <v>0</v>
      </c>
      <c r="J77" s="5">
        <f>G77*B$14+H77*B$15+I77*B$16</f>
        <v>246772.7903</v>
      </c>
      <c r="K77" s="5">
        <f t="shared" ref="K77:K88" si="24">G77+H77+I77</f>
        <v>117208.3668</v>
      </c>
      <c r="L77" s="25">
        <v>12284.0</v>
      </c>
      <c r="M77" s="5">
        <f t="shared" ref="M77:M88" si="25">J77+L77*$D$26/839.45</f>
        <v>259056.7903</v>
      </c>
      <c r="N77" s="5">
        <f>MIN($D$30*B$11,$D$28*B$12*B$11,B$7)</f>
        <v>30661</v>
      </c>
      <c r="O77" s="5">
        <f>N77/Supuestos!$B$14*B$14</f>
        <v>41960.85604</v>
      </c>
      <c r="P77" s="5">
        <f>N77*B$16-O77</f>
        <v>34142.81206</v>
      </c>
      <c r="Q77" s="5">
        <f>294283*MIN(1,$D$30/1845)</f>
        <v>294283</v>
      </c>
      <c r="R77" s="5">
        <f t="shared" ref="R77:R88" si="26">P77+Q77</f>
        <v>328425.8121</v>
      </c>
      <c r="S77" s="5">
        <f>Q77/B$17</f>
        <v>696.841183</v>
      </c>
      <c r="T77" s="5">
        <f>B$9-S77</f>
        <v>0.1588169828</v>
      </c>
    </row>
    <row r="78" ht="14.25" customHeight="1">
      <c r="B78" s="4" t="s">
        <v>94</v>
      </c>
      <c r="C78" s="5">
        <f>$D$26*C$21</f>
        <v>106979.508</v>
      </c>
      <c r="D78" s="8">
        <v>0.1666666666666667</v>
      </c>
      <c r="E78" s="8">
        <v>0.8333333333333334</v>
      </c>
      <c r="F78" s="8">
        <v>0.0</v>
      </c>
      <c r="G78" s="5">
        <f t="shared" si="21"/>
        <v>17829.918</v>
      </c>
      <c r="H78" s="5">
        <f t="shared" si="22"/>
        <v>89149.59</v>
      </c>
      <c r="I78" s="5">
        <f t="shared" si="23"/>
        <v>0</v>
      </c>
      <c r="J78" s="5">
        <f>G78*C$14+H78*C$15+I78*C$16</f>
        <v>226349.026</v>
      </c>
      <c r="K78" s="5">
        <f t="shared" si="24"/>
        <v>106979.508</v>
      </c>
      <c r="L78" s="25">
        <v>10597.0</v>
      </c>
      <c r="M78" s="5">
        <f t="shared" si="25"/>
        <v>236946.026</v>
      </c>
      <c r="N78" s="5">
        <f>MIN($D$30*C$11,$D$28*C$12*C$11,C$7)</f>
        <v>30139</v>
      </c>
      <c r="O78" s="5">
        <f>N78/Supuestos!$B$14*C$14</f>
        <v>42081.57875</v>
      </c>
      <c r="P78" s="5">
        <f>N78*C$16-O78</f>
        <v>34365.99475</v>
      </c>
      <c r="Q78" s="5">
        <f>310245*MIN(1,$D$30/1845)</f>
        <v>310245</v>
      </c>
      <c r="R78" s="5">
        <f t="shared" si="26"/>
        <v>344610.9948</v>
      </c>
      <c r="S78" s="5">
        <f>Q78/C$17</f>
        <v>717.5949484</v>
      </c>
      <c r="T78" s="5">
        <f>C$9-S78</f>
        <v>0.4050515798</v>
      </c>
    </row>
    <row r="79" ht="14.25" customHeight="1">
      <c r="B79" s="4" t="s">
        <v>95</v>
      </c>
      <c r="C79" s="5">
        <f>$D$26*D$21</f>
        <v>110129.1244</v>
      </c>
      <c r="D79" s="8">
        <v>0.1290305005947571</v>
      </c>
      <c r="E79" s="8">
        <v>0.8709694994052429</v>
      </c>
      <c r="F79" s="8">
        <v>0.0</v>
      </c>
      <c r="G79" s="5">
        <f t="shared" si="21"/>
        <v>14210.01605</v>
      </c>
      <c r="H79" s="5">
        <f t="shared" si="22"/>
        <v>95919.10835</v>
      </c>
      <c r="I79" s="5">
        <f t="shared" si="23"/>
        <v>0</v>
      </c>
      <c r="J79" s="5">
        <f>G79*D$14+H79*D$15+I79*D$16</f>
        <v>240106.8971</v>
      </c>
      <c r="K79" s="5">
        <f t="shared" si="24"/>
        <v>110129.1244</v>
      </c>
      <c r="L79" s="25">
        <v>16657.0</v>
      </c>
      <c r="M79" s="5">
        <f t="shared" si="25"/>
        <v>256763.8971</v>
      </c>
      <c r="N79" s="5">
        <f>MIN($D$30*D$11,$D$28*D$12*D$11,D$7)</f>
        <v>34785</v>
      </c>
      <c r="O79" s="5">
        <f>N79/Supuestos!$B$14*D$14</f>
        <v>49191.7875</v>
      </c>
      <c r="P79" s="5">
        <f>N79*D$16-O79</f>
        <v>40261.3185</v>
      </c>
      <c r="Q79" s="5">
        <f>331834*MIN(1,$D$30/1845)</f>
        <v>331834</v>
      </c>
      <c r="R79" s="5">
        <f t="shared" si="26"/>
        <v>372095.3185</v>
      </c>
      <c r="S79" s="5">
        <f>Q79/D$17</f>
        <v>756.1961624</v>
      </c>
      <c r="T79" s="5">
        <f>D$9-S79</f>
        <v>-0.1961624356</v>
      </c>
    </row>
    <row r="80" ht="14.25" customHeight="1">
      <c r="B80" s="4" t="s">
        <v>96</v>
      </c>
      <c r="C80" s="5">
        <f>$D$26*E$21</f>
        <v>103467.2492</v>
      </c>
      <c r="D80" s="8">
        <v>0.1612881401799608</v>
      </c>
      <c r="E80" s="8">
        <v>0.8387118598200393</v>
      </c>
      <c r="F80" s="8">
        <v>0.0</v>
      </c>
      <c r="G80" s="5">
        <f t="shared" si="21"/>
        <v>16688.04019</v>
      </c>
      <c r="H80" s="5">
        <f t="shared" si="22"/>
        <v>86779.20901</v>
      </c>
      <c r="I80" s="5">
        <f t="shared" si="23"/>
        <v>0</v>
      </c>
      <c r="J80" s="5">
        <f>G80*E$14+H80*E$15+I80*E$16</f>
        <v>222710.1298</v>
      </c>
      <c r="K80" s="5">
        <f t="shared" si="24"/>
        <v>103467.2492</v>
      </c>
      <c r="L80" s="25">
        <v>6763.0</v>
      </c>
      <c r="M80" s="5">
        <f t="shared" si="25"/>
        <v>229473.1298</v>
      </c>
      <c r="N80" s="5">
        <f>MIN($D$30*E$11,$D$28*E$12*E$11,E$7)</f>
        <v>28280</v>
      </c>
      <c r="O80" s="5">
        <f>N80/Supuestos!$B$14*E$14</f>
        <v>40042.7125</v>
      </c>
      <c r="P80" s="5">
        <f>N80*E$16-O80</f>
        <v>32775.4595</v>
      </c>
      <c r="Q80" s="5">
        <f>295883*MIN(1,$D$30/1845)</f>
        <v>295883</v>
      </c>
      <c r="R80" s="5">
        <f t="shared" si="26"/>
        <v>328658.4595</v>
      </c>
      <c r="S80" s="5">
        <f>Q80/E$17</f>
        <v>673.3336368</v>
      </c>
      <c r="T80" s="5">
        <f>E$9-S80</f>
        <v>-0.3336367567</v>
      </c>
    </row>
    <row r="81" ht="14.25" customHeight="1">
      <c r="B81" s="4" t="s">
        <v>97</v>
      </c>
      <c r="C81" s="5">
        <f>$D$26*F$21</f>
        <v>99323.724</v>
      </c>
      <c r="D81" s="8">
        <v>0.1333313197213161</v>
      </c>
      <c r="E81" s="8">
        <v>0.8666686802786839</v>
      </c>
      <c r="F81" s="8">
        <v>0.0</v>
      </c>
      <c r="G81" s="5">
        <f t="shared" si="21"/>
        <v>13242.9632</v>
      </c>
      <c r="H81" s="5">
        <f t="shared" si="22"/>
        <v>86080.7608</v>
      </c>
      <c r="I81" s="5">
        <f t="shared" si="23"/>
        <v>0</v>
      </c>
      <c r="J81" s="5">
        <f>G81*F$14+H81*F$15+I81*F$16</f>
        <v>215021.4824</v>
      </c>
      <c r="K81" s="5">
        <f t="shared" si="24"/>
        <v>99323.724</v>
      </c>
      <c r="L81" s="25">
        <v>9226.0</v>
      </c>
      <c r="M81" s="5">
        <f t="shared" si="25"/>
        <v>224247.4824</v>
      </c>
      <c r="N81" s="5">
        <f>MIN($D$30*F$11,$D$28*F$12*F$11,F$7)</f>
        <v>26471</v>
      </c>
      <c r="O81" s="5">
        <f>N81/Supuestos!$B$14*F$14</f>
        <v>37299.29344</v>
      </c>
      <c r="P81" s="5">
        <f>N81*F$16-O81</f>
        <v>30392.34776</v>
      </c>
      <c r="Q81" s="5">
        <f>261949*MIN(1,$D$30/1845)</f>
        <v>261949</v>
      </c>
      <c r="R81" s="5">
        <f t="shared" si="26"/>
        <v>292341.3478</v>
      </c>
      <c r="S81" s="5">
        <f>Q81/F$17</f>
        <v>601.6145702</v>
      </c>
      <c r="T81" s="5">
        <f>F$9-S81</f>
        <v>0.3854298248</v>
      </c>
    </row>
    <row r="82" ht="14.25" customHeight="1">
      <c r="B82" s="4" t="s">
        <v>98</v>
      </c>
      <c r="C82" s="5">
        <f>$D$26*G$21</f>
        <v>102218.1476</v>
      </c>
      <c r="D82" s="8">
        <v>0.1285194388463871</v>
      </c>
      <c r="E82" s="8">
        <v>0.8689369778316931</v>
      </c>
      <c r="F82" s="8">
        <v>0.002543583321919818</v>
      </c>
      <c r="G82" s="5">
        <f t="shared" si="21"/>
        <v>13137.01897</v>
      </c>
      <c r="H82" s="5">
        <f t="shared" si="22"/>
        <v>88821.12826</v>
      </c>
      <c r="I82" s="5">
        <f t="shared" si="23"/>
        <v>260.0003754</v>
      </c>
      <c r="J82" s="5">
        <f>G82*G$14+H82*G$15+I82*G$16</f>
        <v>221817.938</v>
      </c>
      <c r="K82" s="5">
        <f t="shared" si="24"/>
        <v>102218.1476</v>
      </c>
      <c r="L82" s="25">
        <v>22548.0</v>
      </c>
      <c r="M82" s="5">
        <f t="shared" si="25"/>
        <v>244365.938</v>
      </c>
      <c r="N82" s="5">
        <f>MIN($D$30*G$11,$D$28*G$12*G$11,G$7)</f>
        <v>35922</v>
      </c>
      <c r="O82" s="5">
        <f>N82/Supuestos!$B$14*G$14</f>
        <v>50616.34313</v>
      </c>
      <c r="P82" s="5">
        <f>N82*G$16-O82</f>
        <v>41243.39528</v>
      </c>
      <c r="Q82" s="5">
        <f>200884*MIN(1,$D$30/1845)</f>
        <v>200884</v>
      </c>
      <c r="R82" s="5">
        <f t="shared" si="26"/>
        <v>242127.3953</v>
      </c>
      <c r="S82" s="5">
        <f>Q82/G$17</f>
        <v>461.3674468</v>
      </c>
      <c r="T82" s="5">
        <f>G$9-S82</f>
        <v>255.6325532</v>
      </c>
    </row>
    <row r="83" ht="14.25" customHeight="1">
      <c r="B83" s="4" t="s">
        <v>99</v>
      </c>
      <c r="C83" s="5">
        <f>$D$26*H$21</f>
        <v>96503.172</v>
      </c>
      <c r="D83" s="8">
        <v>0.1692589867672508</v>
      </c>
      <c r="E83" s="8">
        <v>0.8202335678683564</v>
      </c>
      <c r="F83" s="8">
        <v>0.01051780773654705</v>
      </c>
      <c r="G83" s="5">
        <f t="shared" si="21"/>
        <v>16334.02911</v>
      </c>
      <c r="H83" s="5">
        <f t="shared" si="22"/>
        <v>79155.14108</v>
      </c>
      <c r="I83" s="5">
        <f t="shared" si="23"/>
        <v>1015.001809</v>
      </c>
      <c r="J83" s="5">
        <f>G83*H$14+H83*H$15+I83*H$16</f>
        <v>200330.4501</v>
      </c>
      <c r="K83" s="5">
        <f t="shared" si="24"/>
        <v>96504.172</v>
      </c>
      <c r="L83" s="25">
        <v>18743.0</v>
      </c>
      <c r="M83" s="5">
        <f t="shared" si="25"/>
        <v>219073.4501</v>
      </c>
      <c r="N83" s="5">
        <f>MIN($D$30*H$11,$D$28*H$12*H$11,H$7)</f>
        <v>46136.6292</v>
      </c>
      <c r="O83" s="5">
        <f>N83/Supuestos!$B$14*H$14</f>
        <v>63341.74718</v>
      </c>
      <c r="P83" s="5">
        <f>N83*H$16-O83</f>
        <v>51372.36767</v>
      </c>
      <c r="Q83" s="5">
        <f>194853*MIN(1,$D$30/1845)</f>
        <v>194853</v>
      </c>
      <c r="R83" s="5">
        <f t="shared" si="26"/>
        <v>246225.3677</v>
      </c>
      <c r="S83" s="5">
        <f>Q83/H$17</f>
        <v>461.3652507</v>
      </c>
      <c r="T83" s="5">
        <f>H$9-S83</f>
        <v>197.6347493</v>
      </c>
    </row>
    <row r="84" ht="14.25" customHeight="1">
      <c r="B84" s="4" t="s">
        <v>100</v>
      </c>
      <c r="C84" s="5">
        <f>$D$26*I$21</f>
        <v>94515.3544</v>
      </c>
      <c r="D84" s="8">
        <v>0.131037401470666</v>
      </c>
      <c r="E84" s="8">
        <v>0.8572713325927102</v>
      </c>
      <c r="F84" s="8">
        <v>0.01170184626778818</v>
      </c>
      <c r="G84" s="5">
        <f t="shared" si="21"/>
        <v>12385.04644</v>
      </c>
      <c r="H84" s="5">
        <f t="shared" si="22"/>
        <v>81025.30382</v>
      </c>
      <c r="I84" s="5">
        <f t="shared" si="23"/>
        <v>1106.004147</v>
      </c>
      <c r="J84" s="5">
        <f>G84*I$14+H84*I$15+I84*I$16</f>
        <v>190480.7562</v>
      </c>
      <c r="K84" s="5">
        <f t="shared" si="24"/>
        <v>94516.3544</v>
      </c>
      <c r="L84" s="25">
        <v>15832.0</v>
      </c>
      <c r="M84" s="5">
        <f t="shared" si="25"/>
        <v>206312.7562</v>
      </c>
      <c r="N84" s="5">
        <f>MIN($D$30*I$11,$D$28*I$12*I$11,I$7)</f>
        <v>49827.55954</v>
      </c>
      <c r="O84" s="5">
        <f>N84/Supuestos!$B$14*I$14</f>
        <v>65502.47931</v>
      </c>
      <c r="P84" s="5">
        <f>N84*I$16-O84</f>
        <v>52688.49192</v>
      </c>
      <c r="Q84" s="5">
        <f>185114*MIN(1,$D$30/1845)</f>
        <v>185114</v>
      </c>
      <c r="R84" s="5">
        <f t="shared" si="26"/>
        <v>237802.4919</v>
      </c>
      <c r="S84" s="5">
        <f>Q84/I$17</f>
        <v>461.3662986</v>
      </c>
      <c r="T84" s="5">
        <f>I$9-S84</f>
        <v>248.6337014</v>
      </c>
    </row>
    <row r="85" ht="14.25" customHeight="1">
      <c r="B85" s="4" t="s">
        <v>101</v>
      </c>
      <c r="C85" s="5">
        <f>$D$26*J$21</f>
        <v>97638.1084</v>
      </c>
      <c r="D85" s="8">
        <v>0.1320489973166185</v>
      </c>
      <c r="E85" s="8">
        <v>0.8567668325856737</v>
      </c>
      <c r="F85" s="8">
        <v>0.01119441201171675</v>
      </c>
      <c r="G85" s="5">
        <f t="shared" si="21"/>
        <v>12893.01431</v>
      </c>
      <c r="H85" s="5">
        <f t="shared" si="22"/>
        <v>83653.09287</v>
      </c>
      <c r="I85" s="5">
        <f t="shared" si="23"/>
        <v>1093.001213</v>
      </c>
      <c r="J85" s="5">
        <f>G85*J$14+H85*J$15+I85*J$16</f>
        <v>192381.7809</v>
      </c>
      <c r="K85" s="5">
        <f t="shared" si="24"/>
        <v>97639.1084</v>
      </c>
      <c r="L85" s="25">
        <v>14504.0</v>
      </c>
      <c r="M85" s="5">
        <f t="shared" si="25"/>
        <v>206885.7809</v>
      </c>
      <c r="N85" s="5">
        <f>MIN($D$30*J$11,$D$28*J$12*J$11,J$7)</f>
        <v>49827.55954</v>
      </c>
      <c r="O85" s="5">
        <f>N85/Supuestos!$B$14*J$14</f>
        <v>64101.0792</v>
      </c>
      <c r="P85" s="5">
        <f>N85*J$16-O85</f>
        <v>51498.85893</v>
      </c>
      <c r="Q85" s="5">
        <f>180947*MIN(1,$D$30/1845)</f>
        <v>180947</v>
      </c>
      <c r="R85" s="5">
        <f t="shared" si="26"/>
        <v>232445.8589</v>
      </c>
      <c r="S85" s="5">
        <f>Q85/J$17</f>
        <v>461.3640999</v>
      </c>
      <c r="T85" s="5">
        <f>J$9-S85</f>
        <v>146.6359001</v>
      </c>
    </row>
    <row r="86" ht="14.25" customHeight="1">
      <c r="B86" s="4" t="s">
        <v>102</v>
      </c>
      <c r="C86" s="5">
        <f>$D$26*K$21</f>
        <v>95522.6944</v>
      </c>
      <c r="D86" s="8">
        <v>0.1450750081132293</v>
      </c>
      <c r="E86" s="8">
        <v>0.8436606890487108</v>
      </c>
      <c r="F86" s="8">
        <v>0.01126430283805994</v>
      </c>
      <c r="G86" s="5">
        <f t="shared" si="21"/>
        <v>13857.95567</v>
      </c>
      <c r="H86" s="5">
        <f t="shared" si="22"/>
        <v>80588.74218</v>
      </c>
      <c r="I86" s="5">
        <f t="shared" si="23"/>
        <v>1075.996558</v>
      </c>
      <c r="J86" s="5">
        <f>G86*K$14+H86*K$15+I86*K$16</f>
        <v>187261.1947</v>
      </c>
      <c r="K86" s="5">
        <f t="shared" si="24"/>
        <v>95522.6944</v>
      </c>
      <c r="L86" s="25">
        <v>9808.0</v>
      </c>
      <c r="M86" s="5">
        <f t="shared" si="25"/>
        <v>197069.1947</v>
      </c>
      <c r="N86" s="5">
        <f>MIN($D$30*K$11,$D$28*K$12*K$11,K$7)</f>
        <v>44291.16404</v>
      </c>
      <c r="O86" s="5">
        <f>N86/Supuestos!$B$14*K$14</f>
        <v>57006.41904</v>
      </c>
      <c r="P86" s="5">
        <f>N86*K$16-O86</f>
        <v>45802.23091</v>
      </c>
      <c r="Q86" s="5">
        <f>181054*MIN(1,$D$30/1845)</f>
        <v>181054</v>
      </c>
      <c r="R86" s="5">
        <f t="shared" si="26"/>
        <v>226856.2309</v>
      </c>
      <c r="S86" s="5">
        <f>Q86/K$17</f>
        <v>461.3663583</v>
      </c>
      <c r="T86" s="5">
        <f>K$9-S86</f>
        <v>180.6336417</v>
      </c>
    </row>
    <row r="87" ht="14.25" customHeight="1">
      <c r="B87" s="4" t="s">
        <v>103</v>
      </c>
      <c r="C87" s="5">
        <f>$D$26*L$21</f>
        <v>118040.1012</v>
      </c>
      <c r="D87" s="8">
        <v>0.1627838021009827</v>
      </c>
      <c r="E87" s="8">
        <v>0.8260250762453406</v>
      </c>
      <c r="F87" s="8">
        <v>0.01119112165367672</v>
      </c>
      <c r="G87" s="5">
        <f t="shared" si="21"/>
        <v>19215.01647</v>
      </c>
      <c r="H87" s="5">
        <f t="shared" si="22"/>
        <v>97504.08359</v>
      </c>
      <c r="I87" s="5">
        <f t="shared" si="23"/>
        <v>1321.001133</v>
      </c>
      <c r="J87" s="5">
        <f>G87*L$14+H87*L$15+I87*L$16</f>
        <v>229756.8777</v>
      </c>
      <c r="K87" s="5">
        <f t="shared" si="24"/>
        <v>118040.1012</v>
      </c>
      <c r="L87" s="25">
        <v>12332.0</v>
      </c>
      <c r="M87" s="5">
        <f t="shared" si="25"/>
        <v>242088.8777</v>
      </c>
      <c r="N87" s="5">
        <f>MIN($D$30*L$11,$D$28*L$12*L$11,L$7)</f>
        <v>47982.09437</v>
      </c>
      <c r="O87" s="5">
        <f>N87/Supuestos!$B$14*L$14</f>
        <v>61786.94277</v>
      </c>
      <c r="P87" s="5">
        <f>N87*L$16-O87</f>
        <v>49651.4714</v>
      </c>
      <c r="Q87" s="5">
        <f>181160*MIN(1,$D$30/1845)</f>
        <v>181160</v>
      </c>
      <c r="R87" s="5">
        <f t="shared" si="26"/>
        <v>230811.4714</v>
      </c>
      <c r="S87" s="5">
        <f>Q87/L$17</f>
        <v>461.3660673</v>
      </c>
      <c r="T87" s="5">
        <f>L$9-S87</f>
        <v>169.6339327</v>
      </c>
    </row>
    <row r="88" ht="14.25" customHeight="1">
      <c r="B88" s="4" t="s">
        <v>104</v>
      </c>
      <c r="C88" s="5">
        <f>$D$26*M$21</f>
        <v>117455.844</v>
      </c>
      <c r="D88" s="8">
        <v>0.1343737229260319</v>
      </c>
      <c r="E88" s="8">
        <v>0.864042705353494</v>
      </c>
      <c r="F88" s="8">
        <v>0.001575057894019888</v>
      </c>
      <c r="G88" s="5">
        <f t="shared" si="21"/>
        <v>15782.97904</v>
      </c>
      <c r="H88" s="5">
        <f t="shared" si="22"/>
        <v>101486.8652</v>
      </c>
      <c r="I88" s="5">
        <f t="shared" si="23"/>
        <v>184.9997543</v>
      </c>
      <c r="J88" s="5">
        <f>G88*M$14+H88*M$15+I88*M$16</f>
        <v>231155.026</v>
      </c>
      <c r="K88" s="5">
        <f t="shared" si="24"/>
        <v>117454.844</v>
      </c>
      <c r="L88" s="25">
        <v>13675.0</v>
      </c>
      <c r="M88" s="5">
        <f t="shared" si="25"/>
        <v>244830.026</v>
      </c>
      <c r="N88" s="5">
        <f>MIN($D$30*M$11,$D$28*M$12*M$11,M$7)</f>
        <v>28376</v>
      </c>
      <c r="O88" s="5">
        <f>N88/Supuestos!$B$14*M$14</f>
        <v>36540.01167</v>
      </c>
      <c r="P88" s="5">
        <f>N88*M$16-O88</f>
        <v>29360.41073</v>
      </c>
      <c r="Q88" s="5">
        <f>181156*MIN(1,$D$30/1845)</f>
        <v>181156</v>
      </c>
      <c r="R88" s="5">
        <f t="shared" si="26"/>
        <v>210516.4107</v>
      </c>
      <c r="S88" s="5">
        <f>Q88/M$17</f>
        <v>461.3676302</v>
      </c>
      <c r="T88" s="5">
        <f>M$9-S88</f>
        <v>150.6323698</v>
      </c>
    </row>
    <row r="89" ht="14.25" customHeight="1">
      <c r="B89" s="3" t="s">
        <v>105</v>
      </c>
      <c r="C89" s="10">
        <f>SUM(C77:C88)</f>
        <v>1259000.394</v>
      </c>
      <c r="G89" s="10">
        <f t="shared" ref="G89:K89" si="27">SUM(G77:G88)</f>
        <v>180700.0448</v>
      </c>
      <c r="H89" s="10">
        <f t="shared" si="27"/>
        <v>1072247.345</v>
      </c>
      <c r="I89" s="10">
        <f t="shared" si="27"/>
        <v>6056.00499</v>
      </c>
      <c r="J89" s="10">
        <f t="shared" si="27"/>
        <v>2604144.349</v>
      </c>
      <c r="K89" s="10">
        <f t="shared" si="27"/>
        <v>1259003.394</v>
      </c>
      <c r="M89" s="10">
        <f t="shared" ref="M89:R89" si="28">SUM(M77:M88)</f>
        <v>2767113.349</v>
      </c>
      <c r="N89" s="10">
        <f t="shared" si="28"/>
        <v>452699.0067</v>
      </c>
      <c r="O89" s="10">
        <f t="shared" si="28"/>
        <v>609471.2505</v>
      </c>
      <c r="P89" s="10">
        <f t="shared" si="28"/>
        <v>493555.1594</v>
      </c>
      <c r="Q89" s="10">
        <f t="shared" si="28"/>
        <v>2799362</v>
      </c>
      <c r="R89" s="10">
        <f t="shared" si="28"/>
        <v>3292917.159</v>
      </c>
      <c r="S89" s="5">
        <f t="shared" ref="S89:T89" si="29">AVERAGE(S77:S88)</f>
        <v>556.2619711</v>
      </c>
      <c r="T89" s="5">
        <f t="shared" si="29"/>
        <v>112.4880289</v>
      </c>
    </row>
    <row r="90" ht="14.25" customHeight="1"/>
    <row r="91" ht="14.25" customHeight="1"/>
    <row r="92" ht="14.25" customHeight="1">
      <c r="A92" s="1" t="s">
        <v>183</v>
      </c>
    </row>
    <row r="93" ht="14.25" customHeight="1">
      <c r="B93" s="2" t="s">
        <v>184</v>
      </c>
      <c r="C93" s="2" t="s">
        <v>185</v>
      </c>
      <c r="D93" s="2" t="s">
        <v>186</v>
      </c>
      <c r="E93" s="2" t="s">
        <v>187</v>
      </c>
      <c r="F93" s="2" t="s">
        <v>188</v>
      </c>
      <c r="G93" s="2" t="s">
        <v>189</v>
      </c>
      <c r="H93" s="2" t="s">
        <v>190</v>
      </c>
      <c r="I93" s="2" t="s">
        <v>191</v>
      </c>
      <c r="J93" s="2" t="s">
        <v>192</v>
      </c>
      <c r="K93" s="2" t="s">
        <v>193</v>
      </c>
      <c r="L93" s="2" t="s">
        <v>194</v>
      </c>
      <c r="M93" s="2" t="s">
        <v>195</v>
      </c>
      <c r="N93" s="2" t="s">
        <v>196</v>
      </c>
      <c r="O93" s="2" t="s">
        <v>197</v>
      </c>
      <c r="P93" s="2" t="s">
        <v>198</v>
      </c>
    </row>
    <row r="94" ht="14.25" customHeight="1">
      <c r="B94" s="4" t="s">
        <v>199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5">
        <f>-$C$34</f>
        <v>-12548250</v>
      </c>
      <c r="N94" s="5">
        <f>-$C$36</f>
        <v>-9641268</v>
      </c>
      <c r="O94" s="5">
        <f t="shared" ref="O94:P94" si="30">M94</f>
        <v>-12548250</v>
      </c>
      <c r="P94" s="5">
        <f t="shared" si="30"/>
        <v>-9641268</v>
      </c>
    </row>
    <row r="95" ht="14.25" customHeight="1">
      <c r="B95" s="19">
        <f>Supuestos!$B$25+1-1</f>
        <v>2026</v>
      </c>
      <c r="C95" s="5">
        <f>$C$39*(1+Supuestos!$B$9)^(1-1)</f>
        <v>15152838</v>
      </c>
      <c r="D95" s="5">
        <f>IF(B95&lt;=Supuestos!$B$26,$C$38*(1+Supuestos!$B$9)^(1-1),0)</f>
        <v>0</v>
      </c>
      <c r="E95" s="5">
        <f t="shared" ref="E95:E114" si="32">C95-D95</f>
        <v>15152838</v>
      </c>
      <c r="F95" s="5">
        <f>$C$43*(1+Supuestos!$B$9)^(1-1)*(1-Supuestos!$B$11)^(1-1)</f>
        <v>3533310.706</v>
      </c>
      <c r="G95" s="5">
        <f>$C$44*(1+Supuestos!$B$9)^(1-1)*(1-Supuestos!$B$12)^(1-1)</f>
        <v>2744097.633</v>
      </c>
      <c r="H95" s="5">
        <f>IF(1&lt;=Supuestos!$B$18,$C$42*$C$31*(1+Supuestos!$B$10)^(1-1)*(1-Supuestos!$B$11)^(1-1),0)</f>
        <v>2017227.245</v>
      </c>
      <c r="I95" s="5">
        <f>IF(1&lt;=Supuestos!$B$19,G95*$C$32,0)</f>
        <v>1372048.816</v>
      </c>
      <c r="J95" s="10">
        <f t="shared" ref="J95:J114" si="33">F95+G95-H95-I95</f>
        <v>2888132.277</v>
      </c>
      <c r="K95" s="5">
        <f t="shared" ref="K95:K114" si="34">K94+J95</f>
        <v>2888132.277</v>
      </c>
      <c r="L95" s="8">
        <f t="shared" ref="L95:L114" si="35">IF(E95&gt;0,J95/E95,0)</f>
        <v>0.1906000894</v>
      </c>
      <c r="M95" s="5">
        <f>IF(1&lt;=Supuestos!$B$18,H95-Supuestos!$B$22*$C$26*(1+Supuestos!$B$9)^(1-1),0)</f>
        <v>1676227.245</v>
      </c>
      <c r="N95" s="5">
        <f>IF(1&lt;=Supuestos!$B$19,I95-Supuestos!$B$23*$C$29*(1+Supuestos!$B$9)^(1-1),0)</f>
        <v>1018888.816</v>
      </c>
      <c r="O95" s="5">
        <f t="shared" ref="O95:P95" si="31">O94+M95</f>
        <v>-10872022.75</v>
      </c>
      <c r="P95" s="5">
        <f t="shared" si="31"/>
        <v>-8622379.184</v>
      </c>
    </row>
    <row r="96" ht="14.25" customHeight="1">
      <c r="B96" s="19">
        <f>Supuestos!$B$25+2-1</f>
        <v>2027</v>
      </c>
      <c r="C96" s="5">
        <f>$C$39*(1+Supuestos!$B$9)^(2-1)</f>
        <v>15910479.9</v>
      </c>
      <c r="D96" s="5">
        <f>IF(B96&lt;=Supuestos!$B$26,$C$38*(1+Supuestos!$B$9)^(2-1),0)</f>
        <v>0</v>
      </c>
      <c r="E96" s="5">
        <f t="shared" si="32"/>
        <v>15910479.9</v>
      </c>
      <c r="F96" s="5">
        <f>$C$43*(1+Supuestos!$B$9)^(2-1)*(1-Supuestos!$B$11)^(2-1)</f>
        <v>3691426.36</v>
      </c>
      <c r="G96" s="5">
        <f>$C$44*(1+Supuestos!$B$9)^(2-1)*(1-Supuestos!$B$12)^(2-1)</f>
        <v>2845286.233</v>
      </c>
      <c r="H96" s="5">
        <f>IF(2&lt;=Supuestos!$B$18,$C$42*$C$31*(1+Supuestos!$B$10)^(2-1)*(1-Supuestos!$B$11)^(2-1),0)</f>
        <v>2107498.164</v>
      </c>
      <c r="I96" s="5">
        <f>IF(2&lt;=Supuestos!$B$19,G96*$C$32,0)</f>
        <v>1422643.117</v>
      </c>
      <c r="J96" s="10">
        <f t="shared" si="33"/>
        <v>3006571.312</v>
      </c>
      <c r="K96" s="5">
        <f t="shared" si="34"/>
        <v>5894703.589</v>
      </c>
      <c r="L96" s="8">
        <f t="shared" si="35"/>
        <v>0.1889679841</v>
      </c>
      <c r="M96" s="5">
        <f>IF(2&lt;=Supuestos!$B$18,H96-Supuestos!$B$22*$C$26*(1+Supuestos!$B$9)^(2-1),0)</f>
        <v>1749448.164</v>
      </c>
      <c r="N96" s="5">
        <f>IF(2&lt;=Supuestos!$B$19,I96-Supuestos!$B$23*$C$29*(1+Supuestos!$B$9)^(2-1),0)</f>
        <v>1051825.117</v>
      </c>
      <c r="O96" s="5">
        <f t="shared" ref="O96:P96" si="36">O95+M96</f>
        <v>-9122574.591</v>
      </c>
      <c r="P96" s="5">
        <f t="shared" si="36"/>
        <v>-7570554.067</v>
      </c>
    </row>
    <row r="97" ht="14.25" customHeight="1">
      <c r="B97" s="19">
        <f>Supuestos!$B$25+3-1</f>
        <v>2028</v>
      </c>
      <c r="C97" s="5">
        <f>$C$39*(1+Supuestos!$B$9)^(3-1)</f>
        <v>16706003.9</v>
      </c>
      <c r="D97" s="5">
        <f>IF(B97&lt;=Supuestos!$B$26,$C$38*(1+Supuestos!$B$9)^(3-1),0)</f>
        <v>0</v>
      </c>
      <c r="E97" s="5">
        <f t="shared" si="32"/>
        <v>16706003.9</v>
      </c>
      <c r="F97" s="5">
        <f>$C$43*(1+Supuestos!$B$9)^(3-1)*(1-Supuestos!$B$11)^(3-1)</f>
        <v>3856617.689</v>
      </c>
      <c r="G97" s="5">
        <f>$C$44*(1+Supuestos!$B$9)^(3-1)*(1-Supuestos!$B$12)^(3-1)</f>
        <v>2950206.163</v>
      </c>
      <c r="H97" s="5">
        <f>IF(3&lt;=Supuestos!$B$18,$C$42*$C$31*(1+Supuestos!$B$10)^(3-1)*(1-Supuestos!$B$11)^(3-1),0)</f>
        <v>2201808.707</v>
      </c>
      <c r="I97" s="5">
        <f>IF(3&lt;=Supuestos!$B$19,G97*$C$32,0)</f>
        <v>1475103.081</v>
      </c>
      <c r="J97" s="10">
        <f t="shared" si="33"/>
        <v>3129912.064</v>
      </c>
      <c r="K97" s="5">
        <f t="shared" si="34"/>
        <v>9024615.653</v>
      </c>
      <c r="L97" s="8">
        <f t="shared" si="35"/>
        <v>0.1873525281</v>
      </c>
      <c r="M97" s="5">
        <f>IF(3&lt;=Supuestos!$B$18,H97-Supuestos!$B$22*$C$26*(1+Supuestos!$B$9)^(3-1),0)</f>
        <v>1825856.207</v>
      </c>
      <c r="N97" s="5">
        <f>IF(3&lt;=Supuestos!$B$19,I97-Supuestos!$B$23*$C$29*(1+Supuestos!$B$9)^(3-1),0)</f>
        <v>1085744.181</v>
      </c>
      <c r="O97" s="5">
        <f t="shared" ref="O97:P97" si="37">O96+M97</f>
        <v>-7296718.383</v>
      </c>
      <c r="P97" s="5">
        <f t="shared" si="37"/>
        <v>-6484809.886</v>
      </c>
    </row>
    <row r="98" ht="14.25" customHeight="1">
      <c r="B98" s="19">
        <f>Supuestos!$B$25+4-1</f>
        <v>2029</v>
      </c>
      <c r="C98" s="5">
        <f>$C$39*(1+Supuestos!$B$9)^(4-1)</f>
        <v>17541304.09</v>
      </c>
      <c r="D98" s="5">
        <f>IF(B98&lt;=Supuestos!$B$26,$C$38*(1+Supuestos!$B$9)^(4-1),0)</f>
        <v>0</v>
      </c>
      <c r="E98" s="5">
        <f t="shared" si="32"/>
        <v>17541304.09</v>
      </c>
      <c r="F98" s="5">
        <f>$C$43*(1+Supuestos!$B$9)^(4-1)*(1-Supuestos!$B$11)^(4-1)</f>
        <v>4029201.331</v>
      </c>
      <c r="G98" s="5">
        <f>$C$44*(1+Supuestos!$B$9)^(4-1)*(1-Supuestos!$B$12)^(4-1)</f>
        <v>3058995.015</v>
      </c>
      <c r="H98" s="5">
        <f>IF(4&lt;=Supuestos!$B$18,$C$42*$C$31*(1+Supuestos!$B$10)^(4-1)*(1-Supuestos!$B$11)^(4-1),0)</f>
        <v>2300339.647</v>
      </c>
      <c r="I98" s="5">
        <f>IF(4&lt;=Supuestos!$B$19,G98*$C$32,0)</f>
        <v>1529497.508</v>
      </c>
      <c r="J98" s="10">
        <f t="shared" si="33"/>
        <v>3258359.192</v>
      </c>
      <c r="K98" s="5">
        <f t="shared" si="34"/>
        <v>12282974.84</v>
      </c>
      <c r="L98" s="8">
        <f t="shared" si="35"/>
        <v>0.1857535321</v>
      </c>
      <c r="M98" s="5">
        <f>IF(4&lt;=Supuestos!$B$18,H98-Supuestos!$B$22*$C$26*(1+Supuestos!$B$9)^(4-1),0)</f>
        <v>1905589.522</v>
      </c>
      <c r="N98" s="5">
        <f>IF(4&lt;=Supuestos!$B$19,I98-Supuestos!$B$23*$C$29*(1+Supuestos!$B$9)^(4-1),0)</f>
        <v>1120670.663</v>
      </c>
      <c r="O98" s="5">
        <f t="shared" ref="O98:P98" si="38">O97+M98</f>
        <v>-5391128.862</v>
      </c>
      <c r="P98" s="5">
        <f t="shared" si="38"/>
        <v>-5364139.223</v>
      </c>
    </row>
    <row r="99" ht="14.25" customHeight="1">
      <c r="B99" s="19">
        <f>Supuestos!$B$25+5-1</f>
        <v>2030</v>
      </c>
      <c r="C99" s="5">
        <f>$C$39*(1+Supuestos!$B$9)^(5-1)</f>
        <v>18418369.29</v>
      </c>
      <c r="D99" s="5">
        <f>IF(B99&lt;=Supuestos!$B$26,$C$38*(1+Supuestos!$B$9)^(5-1),0)</f>
        <v>0</v>
      </c>
      <c r="E99" s="5">
        <f t="shared" si="32"/>
        <v>18418369.29</v>
      </c>
      <c r="F99" s="5">
        <f>$C$43*(1+Supuestos!$B$9)^(5-1)*(1-Supuestos!$B$11)^(5-1)</f>
        <v>4209508.091</v>
      </c>
      <c r="G99" s="5">
        <f>$C$44*(1+Supuestos!$B$9)^(5-1)*(1-Supuestos!$B$12)^(5-1)</f>
        <v>3171795.456</v>
      </c>
      <c r="H99" s="5">
        <f>IF(5&lt;=Supuestos!$B$18,$C$42*$C$31*(1+Supuestos!$B$10)^(5-1)*(1-Supuestos!$B$11)^(5-1),0)</f>
        <v>2403279.846</v>
      </c>
      <c r="I99" s="5">
        <f>IF(5&lt;=Supuestos!$B$19,G99*$C$32,0)</f>
        <v>1585897.728</v>
      </c>
      <c r="J99" s="10">
        <f t="shared" si="33"/>
        <v>3392125.973</v>
      </c>
      <c r="K99" s="5">
        <f t="shared" si="34"/>
        <v>15675100.82</v>
      </c>
      <c r="L99" s="8">
        <f t="shared" si="35"/>
        <v>0.184170809</v>
      </c>
      <c r="M99" s="5">
        <f>IF(5&lt;=Supuestos!$B$18,H99-Supuestos!$B$22*$C$26*(1+Supuestos!$B$9)^(5-1),0)</f>
        <v>1988792.215</v>
      </c>
      <c r="N99" s="5">
        <f>IF(5&lt;=Supuestos!$B$19,I99-Supuestos!$B$23*$C$29*(1+Supuestos!$B$9)^(5-1),0)</f>
        <v>1156629.541</v>
      </c>
      <c r="O99" s="5">
        <f t="shared" ref="O99:P99" si="39">O98+M99</f>
        <v>-3402336.647</v>
      </c>
      <c r="P99" s="5">
        <f t="shared" si="39"/>
        <v>-4207509.682</v>
      </c>
    </row>
    <row r="100" ht="14.25" customHeight="1">
      <c r="B100" s="19">
        <f>Supuestos!$B$25+6-1</f>
        <v>2031</v>
      </c>
      <c r="C100" s="5">
        <f>$C$39*(1+Supuestos!$B$9)^(6-1)</f>
        <v>19339287.76</v>
      </c>
      <c r="D100" s="5">
        <f>IF(B100&lt;=Supuestos!$B$26,$C$38*(1+Supuestos!$B$9)^(6-1),0)</f>
        <v>0</v>
      </c>
      <c r="E100" s="5">
        <f t="shared" si="32"/>
        <v>19339287.76</v>
      </c>
      <c r="F100" s="5">
        <f>$C$43*(1+Supuestos!$B$9)^(6-1)*(1-Supuestos!$B$11)^(6-1)</f>
        <v>4397883.578</v>
      </c>
      <c r="G100" s="5">
        <f>$C$44*(1+Supuestos!$B$9)^(6-1)*(1-Supuestos!$B$12)^(6-1)</f>
        <v>3288755.414</v>
      </c>
      <c r="H100" s="5">
        <f>IF(6&lt;=Supuestos!$B$18,$C$42*$C$31*(1+Supuestos!$B$10)^(6-1)*(1-Supuestos!$B$11)^(6-1),0)</f>
        <v>2510826.619</v>
      </c>
      <c r="I100" s="5">
        <f>IF(6&lt;=Supuestos!$B$19,G100*$C$32,0)</f>
        <v>1644377.707</v>
      </c>
      <c r="J100" s="10">
        <f t="shared" si="33"/>
        <v>3531434.665</v>
      </c>
      <c r="K100" s="5">
        <f t="shared" si="34"/>
        <v>19206535.48</v>
      </c>
      <c r="L100" s="8">
        <f t="shared" si="35"/>
        <v>0.1826041739</v>
      </c>
      <c r="M100" s="5">
        <f>IF(6&lt;=Supuestos!$B$18,H100-Supuestos!$B$22*$C$26*(1+Supuestos!$B$9)^(6-1),0)</f>
        <v>2075614.606</v>
      </c>
      <c r="N100" s="5">
        <f>IF(6&lt;=Supuestos!$B$19,I100-Supuestos!$B$23*$C$29*(1+Supuestos!$B$9)^(6-1),0)</f>
        <v>1193646.11</v>
      </c>
      <c r="O100" s="5">
        <f t="shared" ref="O100:P100" si="40">O99+M100</f>
        <v>-1326722.041</v>
      </c>
      <c r="P100" s="5">
        <f t="shared" si="40"/>
        <v>-3013863.572</v>
      </c>
    </row>
    <row r="101" ht="14.25" customHeight="1">
      <c r="B101" s="19">
        <f>Supuestos!$B$25+7-1</f>
        <v>2032</v>
      </c>
      <c r="C101" s="5">
        <f>$C$39*(1+Supuestos!$B$9)^(7-1)</f>
        <v>20306252.15</v>
      </c>
      <c r="D101" s="5">
        <f>IF(B101&lt;=Supuestos!$B$26,$C$38*(1+Supuestos!$B$9)^(7-1),0)</f>
        <v>0</v>
      </c>
      <c r="E101" s="5">
        <f t="shared" si="32"/>
        <v>20306252.15</v>
      </c>
      <c r="F101" s="5">
        <f>$C$43*(1+Supuestos!$B$9)^(7-1)*(1-Supuestos!$B$11)^(7-1)</f>
        <v>4594688.868</v>
      </c>
      <c r="G101" s="5">
        <f>$C$44*(1+Supuestos!$B$9)^(7-1)*(1-Supuestos!$B$12)^(7-1)</f>
        <v>3410028.27</v>
      </c>
      <c r="H101" s="5">
        <f>IF(7&lt;=Supuestos!$B$18,$C$42*$C$31*(1+Supuestos!$B$10)^(7-1)*(1-Supuestos!$B$11)^(7-1),0)</f>
        <v>2623186.11</v>
      </c>
      <c r="I101" s="5">
        <f>IF(7&lt;=Supuestos!$B$19,G101*$C$32,0)</f>
        <v>1705014.135</v>
      </c>
      <c r="J101" s="10">
        <f t="shared" si="33"/>
        <v>3676516.892</v>
      </c>
      <c r="K101" s="5">
        <f t="shared" si="34"/>
        <v>22883052.37</v>
      </c>
      <c r="L101" s="8">
        <f t="shared" si="35"/>
        <v>0.1810534443</v>
      </c>
      <c r="M101" s="5">
        <f>IF(7&lt;=Supuestos!$B$18,H101-Supuestos!$B$22*$C$26*(1+Supuestos!$B$9)^(7-1),0)</f>
        <v>2166213.497</v>
      </c>
      <c r="N101" s="5">
        <f>IF(7&lt;=Supuestos!$B$19,I101-Supuestos!$B$23*$C$29*(1+Supuestos!$B$9)^(7-1),0)</f>
        <v>1231745.958</v>
      </c>
      <c r="O101" s="5">
        <f t="shared" ref="O101:P101" si="41">O100+M101</f>
        <v>839491.4562</v>
      </c>
      <c r="P101" s="5">
        <f t="shared" si="41"/>
        <v>-1782117.613</v>
      </c>
    </row>
    <row r="102" ht="14.25" customHeight="1">
      <c r="B102" s="19">
        <f>Supuestos!$B$25+8-1</f>
        <v>2033</v>
      </c>
      <c r="C102" s="5">
        <f>$C$39*(1+Supuestos!$B$9)^(8-1)</f>
        <v>21321564.75</v>
      </c>
      <c r="D102" s="5">
        <f>IF(B102&lt;=Supuestos!$B$26,$C$38*(1+Supuestos!$B$9)^(8-1),0)</f>
        <v>0</v>
      </c>
      <c r="E102" s="5">
        <f t="shared" si="32"/>
        <v>21321564.75</v>
      </c>
      <c r="F102" s="5">
        <f>$C$43*(1+Supuestos!$B$9)^(8-1)*(1-Supuestos!$B$11)^(8-1)</f>
        <v>4800301.195</v>
      </c>
      <c r="G102" s="5">
        <f>$C$44*(1+Supuestos!$B$9)^(8-1)*(1-Supuestos!$B$12)^(8-1)</f>
        <v>3535773.062</v>
      </c>
      <c r="H102" s="5">
        <f>IF(8&lt;=Supuestos!$B$18,$C$42*$C$31*(1+Supuestos!$B$10)^(8-1)*(1-Supuestos!$B$11)^(8-1),0)</f>
        <v>2740573.689</v>
      </c>
      <c r="I102" s="5">
        <f>IF(8&lt;=Supuestos!$B$19,G102*$C$32,0)</f>
        <v>1767886.531</v>
      </c>
      <c r="J102" s="10">
        <f t="shared" si="33"/>
        <v>3827614.037</v>
      </c>
      <c r="K102" s="5">
        <f t="shared" si="34"/>
        <v>26710666.41</v>
      </c>
      <c r="L102" s="8">
        <f t="shared" si="35"/>
        <v>0.1795184397</v>
      </c>
      <c r="M102" s="5">
        <f>IF(8&lt;=Supuestos!$B$18,H102-Supuestos!$B$22*$C$26*(1+Supuestos!$B$9)^(8-1),0)</f>
        <v>2260752.445</v>
      </c>
      <c r="N102" s="5">
        <f>IF(8&lt;=Supuestos!$B$19,I102-Supuestos!$B$23*$C$29*(1+Supuestos!$B$9)^(8-1),0)</f>
        <v>1270954.946</v>
      </c>
      <c r="O102" s="5">
        <f t="shared" ref="O102:P102" si="42">O101+M102</f>
        <v>3100243.901</v>
      </c>
      <c r="P102" s="5">
        <f t="shared" si="42"/>
        <v>-511162.6676</v>
      </c>
    </row>
    <row r="103" ht="14.25" customHeight="1">
      <c r="B103" s="19">
        <f>Supuestos!$B$25+9-1</f>
        <v>2034</v>
      </c>
      <c r="C103" s="5">
        <f>$C$39*(1+Supuestos!$B$9)^(9-1)</f>
        <v>22387642.99</v>
      </c>
      <c r="D103" s="5">
        <f>IF(B103&lt;=Supuestos!$B$26,$C$38*(1+Supuestos!$B$9)^(9-1),0)</f>
        <v>0</v>
      </c>
      <c r="E103" s="5">
        <f t="shared" si="32"/>
        <v>22387642.99</v>
      </c>
      <c r="F103" s="5">
        <f>$C$43*(1+Supuestos!$B$9)^(9-1)*(1-Supuestos!$B$11)^(9-1)</f>
        <v>5015114.673</v>
      </c>
      <c r="G103" s="5">
        <f>$C$44*(1+Supuestos!$B$9)^(9-1)*(1-Supuestos!$B$12)^(9-1)</f>
        <v>3666154.694</v>
      </c>
      <c r="H103" s="5">
        <f>IF(9&lt;=Supuestos!$B$18,$C$42*$C$31*(1+Supuestos!$B$10)^(9-1)*(1-Supuestos!$B$11)^(9-1),0)</f>
        <v>2863214.361</v>
      </c>
      <c r="I103" s="5">
        <f>IF(9&lt;=Supuestos!$B$19,G103*$C$32,0)</f>
        <v>1833077.347</v>
      </c>
      <c r="J103" s="10">
        <f t="shared" si="33"/>
        <v>3984977.659</v>
      </c>
      <c r="K103" s="5">
        <f t="shared" si="34"/>
        <v>30695644.07</v>
      </c>
      <c r="L103" s="8">
        <f t="shared" si="35"/>
        <v>0.1779989818</v>
      </c>
      <c r="M103" s="5">
        <f>IF(9&lt;=Supuestos!$B$18,H103-Supuestos!$B$22*$C$26*(1+Supuestos!$B$9)^(9-1),0)</f>
        <v>2359402.055</v>
      </c>
      <c r="N103" s="5">
        <f>IF(9&lt;=Supuestos!$B$19,I103-Supuestos!$B$23*$C$29*(1+Supuestos!$B$9)^(9-1),0)</f>
        <v>1311299.182</v>
      </c>
      <c r="O103" s="5">
        <f t="shared" ref="O103:P103" si="43">O102+M103</f>
        <v>5459645.956</v>
      </c>
      <c r="P103" s="5">
        <f t="shared" si="43"/>
        <v>800136.5148</v>
      </c>
    </row>
    <row r="104" ht="14.25" customHeight="1">
      <c r="B104" s="19">
        <f>Supuestos!$B$25+10-1</f>
        <v>2035</v>
      </c>
      <c r="C104" s="5">
        <f>$C$39*(1+Supuestos!$B$9)^(10-1)</f>
        <v>23507025.14</v>
      </c>
      <c r="D104" s="5">
        <f>IF(B104&lt;=Supuestos!$B$26,$C$38*(1+Supuestos!$B$9)^(10-1),0)</f>
        <v>0</v>
      </c>
      <c r="E104" s="5">
        <f t="shared" si="32"/>
        <v>23507025.14</v>
      </c>
      <c r="F104" s="5">
        <f>$C$43*(1+Supuestos!$B$9)^(10-1)*(1-Supuestos!$B$11)^(10-1)</f>
        <v>5239541.055</v>
      </c>
      <c r="G104" s="5">
        <f>$C$44*(1+Supuestos!$B$9)^(10-1)*(1-Supuestos!$B$12)^(10-1)</f>
        <v>3801344.148</v>
      </c>
      <c r="H104" s="5">
        <f>IF(10&lt;=Supuestos!$B$18,$C$42*$C$31*(1+Supuestos!$B$10)^(10-1)*(1-Supuestos!$B$11)^(10-1),0)</f>
        <v>2991343.204</v>
      </c>
      <c r="I104" s="5">
        <f>IF(10&lt;=Supuestos!$B$19,G104*$C$32,0)</f>
        <v>1900672.074</v>
      </c>
      <c r="J104" s="10">
        <f t="shared" si="33"/>
        <v>4148869.925</v>
      </c>
      <c r="K104" s="5">
        <f t="shared" si="34"/>
        <v>34844514</v>
      </c>
      <c r="L104" s="8">
        <f t="shared" si="35"/>
        <v>0.1764948946</v>
      </c>
      <c r="M104" s="5">
        <f>IF(10&lt;=Supuestos!$B$18,H104-Supuestos!$B$22*$C$26*(1+Supuestos!$B$9)^(10-1),0)</f>
        <v>2462340.282</v>
      </c>
      <c r="N104" s="5">
        <f>IF(10&lt;=Supuestos!$B$19,I104-Supuestos!$B$23*$C$29*(1+Supuestos!$B$9)^(10-1),0)</f>
        <v>1352805.001</v>
      </c>
      <c r="O104" s="5">
        <f t="shared" ref="O104:P104" si="44">O103+M104</f>
        <v>7921986.238</v>
      </c>
      <c r="P104" s="5">
        <f t="shared" si="44"/>
        <v>2152941.516</v>
      </c>
    </row>
    <row r="105" ht="14.25" customHeight="1">
      <c r="B105" s="19">
        <f>Supuestos!$B$25+11-1</f>
        <v>2036</v>
      </c>
      <c r="C105" s="5">
        <f>$C$39*(1+Supuestos!$B$9)^(11-1)</f>
        <v>24682376.4</v>
      </c>
      <c r="D105" s="5">
        <f>IF(B105&lt;=Supuestos!$B$26,$C$38*(1+Supuestos!$B$9)^(11-1),0)</f>
        <v>0</v>
      </c>
      <c r="E105" s="5">
        <f t="shared" si="32"/>
        <v>24682376.4</v>
      </c>
      <c r="F105" s="5">
        <f>$C$43*(1+Supuestos!$B$9)^(11-1)*(1-Supuestos!$B$11)^(11-1)</f>
        <v>5474010.517</v>
      </c>
      <c r="G105" s="5">
        <f>$C$44*(1+Supuestos!$B$9)^(11-1)*(1-Supuestos!$B$12)^(11-1)</f>
        <v>3941518.714</v>
      </c>
      <c r="H105" s="5">
        <f>IF(11&lt;=Supuestos!$B$18,$C$42*$C$31*(1+Supuestos!$B$10)^(11-1)*(1-Supuestos!$B$11)^(11-1),0)</f>
        <v>3125205.812</v>
      </c>
      <c r="I105" s="5">
        <f>IF(11&lt;=Supuestos!$B$19,G105*$C$32,0)</f>
        <v>1970759.357</v>
      </c>
      <c r="J105" s="10">
        <f t="shared" si="33"/>
        <v>4319564.061</v>
      </c>
      <c r="K105" s="5">
        <f t="shared" si="34"/>
        <v>39164078.06</v>
      </c>
      <c r="L105" s="8">
        <f t="shared" si="35"/>
        <v>0.1750060039</v>
      </c>
      <c r="M105" s="5">
        <f>IF(11&lt;=Supuestos!$B$18,H105-Supuestos!$B$22*$C$26*(1+Supuestos!$B$9)^(11-1),0)</f>
        <v>2569752.745</v>
      </c>
      <c r="N105" s="5">
        <f>IF(11&lt;=Supuestos!$B$19,I105-Supuestos!$B$23*$C$29*(1+Supuestos!$B$9)^(11-1),0)</f>
        <v>1395498.93</v>
      </c>
      <c r="O105" s="5">
        <f t="shared" ref="O105:P105" si="45">O104+M105</f>
        <v>10491738.98</v>
      </c>
      <c r="P105" s="5">
        <f t="shared" si="45"/>
        <v>3548440.446</v>
      </c>
    </row>
    <row r="106" ht="14.25" customHeight="1">
      <c r="B106" s="19">
        <f>Supuestos!$B$25+12-1</f>
        <v>2037</v>
      </c>
      <c r="C106" s="5">
        <f>$C$39*(1+Supuestos!$B$9)^(12-1)</f>
        <v>25916495.22</v>
      </c>
      <c r="D106" s="5">
        <f>IF(B106&lt;=Supuestos!$B$26,$C$38*(1+Supuestos!$B$9)^(12-1),0)</f>
        <v>0</v>
      </c>
      <c r="E106" s="5">
        <f t="shared" si="32"/>
        <v>25916495.22</v>
      </c>
      <c r="F106" s="5">
        <f>$C$43*(1+Supuestos!$B$9)^(12-1)*(1-Supuestos!$B$11)^(12-1)</f>
        <v>5718972.487</v>
      </c>
      <c r="G106" s="5">
        <f>$C$44*(1+Supuestos!$B$9)^(12-1)*(1-Supuestos!$B$12)^(12-1)</f>
        <v>4086862.216</v>
      </c>
      <c r="H106" s="5">
        <f>IF(12&lt;=Supuestos!$B$18,$C$42*$C$31*(1+Supuestos!$B$10)^(12-1)*(1-Supuestos!$B$11)^(12-1),0)</f>
        <v>3265058.772</v>
      </c>
      <c r="I106" s="5">
        <f>IF(12&lt;=Supuestos!$B$19,G106*$C$32,0)</f>
        <v>2043431.108</v>
      </c>
      <c r="J106" s="10">
        <f t="shared" si="33"/>
        <v>4497344.823</v>
      </c>
      <c r="K106" s="5">
        <f t="shared" si="34"/>
        <v>43661422.88</v>
      </c>
      <c r="L106" s="8">
        <f t="shared" si="35"/>
        <v>0.1735321379</v>
      </c>
      <c r="M106" s="5">
        <f>IF(12&lt;=Supuestos!$B$18,H106-Supuestos!$B$22*$C$26*(1+Supuestos!$B$9)^(12-1),0)</f>
        <v>2681833.051</v>
      </c>
      <c r="N106" s="5">
        <f>IF(12&lt;=Supuestos!$B$19,I106-Supuestos!$B$23*$C$29*(1+Supuestos!$B$9)^(12-1),0)</f>
        <v>1439407.66</v>
      </c>
      <c r="O106" s="5">
        <f t="shared" ref="O106:P106" si="46">O105+M106</f>
        <v>13173572.03</v>
      </c>
      <c r="P106" s="5">
        <f t="shared" si="46"/>
        <v>4987848.107</v>
      </c>
    </row>
    <row r="107" ht="14.25" customHeight="1">
      <c r="B107" s="19">
        <f>Supuestos!$B$25+13-1</f>
        <v>2038</v>
      </c>
      <c r="C107" s="5">
        <f>$C$39*(1+Supuestos!$B$9)^(13-1)</f>
        <v>27212319.98</v>
      </c>
      <c r="D107" s="5">
        <f>IF(B107&lt;=Supuestos!$B$26,$C$38*(1+Supuestos!$B$9)^(13-1),0)</f>
        <v>0</v>
      </c>
      <c r="E107" s="5">
        <f t="shared" si="32"/>
        <v>27212319.98</v>
      </c>
      <c r="F107" s="5">
        <f>$C$43*(1+Supuestos!$B$9)^(13-1)*(1-Supuestos!$B$11)^(13-1)</f>
        <v>5974896.506</v>
      </c>
      <c r="G107" s="5">
        <f>$C$44*(1+Supuestos!$B$9)^(13-1)*(1-Supuestos!$B$12)^(13-1)</f>
        <v>4237565.26</v>
      </c>
      <c r="H107" s="5">
        <f>IF(13&lt;=Supuestos!$B$18,$C$42*$C$31*(1+Supuestos!$B$10)^(13-1)*(1-Supuestos!$B$11)^(13-1),0)</f>
        <v>3411170.153</v>
      </c>
      <c r="I107" s="5">
        <f>IF(13&lt;=Supuestos!$B$19,G107*$C$32,0)</f>
        <v>2118782.63</v>
      </c>
      <c r="J107" s="10">
        <f t="shared" si="33"/>
        <v>4682508.984</v>
      </c>
      <c r="K107" s="5">
        <f t="shared" si="34"/>
        <v>48343931.86</v>
      </c>
      <c r="L107" s="8">
        <f t="shared" si="35"/>
        <v>0.1720731267</v>
      </c>
      <c r="M107" s="5">
        <f>IF(13&lt;=Supuestos!$B$18,H107-Supuestos!$B$22*$C$26*(1+Supuestos!$B$9)^(13-1),0)</f>
        <v>2798783.145</v>
      </c>
      <c r="N107" s="5">
        <f>IF(13&lt;=Supuestos!$B$19,I107-Supuestos!$B$23*$C$29*(1+Supuestos!$B$9)^(13-1),0)</f>
        <v>1484558.01</v>
      </c>
      <c r="O107" s="5">
        <f t="shared" ref="O107:P107" si="47">O106+M107</f>
        <v>15972355.18</v>
      </c>
      <c r="P107" s="5">
        <f t="shared" si="47"/>
        <v>6472406.117</v>
      </c>
    </row>
    <row r="108" ht="14.25" customHeight="1">
      <c r="B108" s="19">
        <f>Supuestos!$B$25+14-1</f>
        <v>2039</v>
      </c>
      <c r="C108" s="5">
        <f>$C$39*(1+Supuestos!$B$9)^(14-1)</f>
        <v>28572935.98</v>
      </c>
      <c r="D108" s="5">
        <f>IF(B108&lt;=Supuestos!$B$26,$C$38*(1+Supuestos!$B$9)^(14-1),0)</f>
        <v>0</v>
      </c>
      <c r="E108" s="5">
        <f t="shared" si="32"/>
        <v>28572935.98</v>
      </c>
      <c r="F108" s="5">
        <f>$C$43*(1+Supuestos!$B$9)^(14-1)*(1-Supuestos!$B$11)^(14-1)</f>
        <v>6242273.125</v>
      </c>
      <c r="G108" s="5">
        <f>$C$44*(1+Supuestos!$B$9)^(14-1)*(1-Supuestos!$B$12)^(14-1)</f>
        <v>4393825.479</v>
      </c>
      <c r="H108" s="5">
        <f>IF(14&lt;=Supuestos!$B$18,$C$42*$C$31*(1+Supuestos!$B$10)^(14-1)*(1-Supuestos!$B$11)^(14-1),0)</f>
        <v>3563820.017</v>
      </c>
      <c r="I108" s="5">
        <f>IF(14&lt;=Supuestos!$B$19,G108*$C$32,0)</f>
        <v>2196912.74</v>
      </c>
      <c r="J108" s="10">
        <f t="shared" si="33"/>
        <v>4875365.848</v>
      </c>
      <c r="K108" s="5">
        <f t="shared" si="34"/>
        <v>53219297.71</v>
      </c>
      <c r="L108" s="8">
        <f t="shared" si="35"/>
        <v>0.1706288024</v>
      </c>
      <c r="M108" s="5">
        <f>IF(14&lt;=Supuestos!$B$18,H108-Supuestos!$B$22*$C$26*(1+Supuestos!$B$9)^(14-1),0)</f>
        <v>2920813.659</v>
      </c>
      <c r="N108" s="5">
        <f>IF(14&lt;=Supuestos!$B$19,I108-Supuestos!$B$23*$C$29*(1+Supuestos!$B$9)^(14-1),0)</f>
        <v>1530976.889</v>
      </c>
      <c r="O108" s="5">
        <f t="shared" ref="O108:P108" si="48">O107+M108</f>
        <v>18893168.84</v>
      </c>
      <c r="P108" s="5">
        <f t="shared" si="48"/>
        <v>8003383.006</v>
      </c>
    </row>
    <row r="109" ht="14.25" customHeight="1">
      <c r="B109" s="19">
        <f>Supuestos!$B$25+15-1</f>
        <v>2040</v>
      </c>
      <c r="C109" s="5">
        <f>$C$39*(1+Supuestos!$B$9)^(15-1)</f>
        <v>30001582.78</v>
      </c>
      <c r="D109" s="5">
        <f>IF(B109&lt;=Supuestos!$B$26,$C$38*(1+Supuestos!$B$9)^(15-1),0)</f>
        <v>0</v>
      </c>
      <c r="E109" s="5">
        <f t="shared" si="32"/>
        <v>30001582.78</v>
      </c>
      <c r="F109" s="5">
        <f>$C$43*(1+Supuestos!$B$9)^(15-1)*(1-Supuestos!$B$11)^(15-1)</f>
        <v>6521614.847</v>
      </c>
      <c r="G109" s="5">
        <f>$C$44*(1+Supuestos!$B$9)^(15-1)*(1-Supuestos!$B$12)^(15-1)</f>
        <v>4555847.794</v>
      </c>
      <c r="H109" s="5">
        <f>IF(15&lt;=Supuestos!$B$18,$C$42*$C$31*(1+Supuestos!$B$10)^(15-1)*(1-Supuestos!$B$11)^(15-1),0)</f>
        <v>3723300.963</v>
      </c>
      <c r="I109" s="5">
        <f>IF(15&lt;=Supuestos!$B$19,G109*$C$32,0)</f>
        <v>2277923.897</v>
      </c>
      <c r="J109" s="10">
        <f t="shared" si="33"/>
        <v>5076237.782</v>
      </c>
      <c r="K109" s="5">
        <f t="shared" si="34"/>
        <v>58295535.49</v>
      </c>
      <c r="L109" s="8">
        <f t="shared" si="35"/>
        <v>0.1691989992</v>
      </c>
      <c r="M109" s="5">
        <f>IF(15&lt;=Supuestos!$B$18,H109-Supuestos!$B$22*$C$26*(1+Supuestos!$B$9)^(15-1),0)</f>
        <v>3048144.287</v>
      </c>
      <c r="N109" s="5">
        <f>IF(15&lt;=Supuestos!$B$19,I109-Supuestos!$B$23*$C$29*(1+Supuestos!$B$9)^(15-1),0)</f>
        <v>1578691.253</v>
      </c>
      <c r="O109" s="5">
        <f t="shared" ref="O109:P109" si="49">O108+M109</f>
        <v>21941313.13</v>
      </c>
      <c r="P109" s="5">
        <f t="shared" si="49"/>
        <v>9582074.259</v>
      </c>
    </row>
    <row r="110" ht="14.25" customHeight="1">
      <c r="B110" s="19">
        <f>Supuestos!$B$25+16-1</f>
        <v>2041</v>
      </c>
      <c r="C110" s="5">
        <f>$C$39*(1+Supuestos!$B$9)^(16-1)</f>
        <v>31501661.92</v>
      </c>
      <c r="D110" s="5">
        <f>IF(B110&lt;=Supuestos!$B$26,$C$38*(1+Supuestos!$B$9)^(16-1),0)</f>
        <v>0</v>
      </c>
      <c r="E110" s="5">
        <f t="shared" si="32"/>
        <v>31501661.92</v>
      </c>
      <c r="F110" s="5">
        <f>$C$43*(1+Supuestos!$B$9)^(16-1)*(1-Supuestos!$B$11)^(16-1)</f>
        <v>6813457.112</v>
      </c>
      <c r="G110" s="5">
        <f>$C$44*(1+Supuestos!$B$9)^(16-1)*(1-Supuestos!$B$12)^(16-1)</f>
        <v>4723844.681</v>
      </c>
      <c r="H110" s="5">
        <f>IF(16&lt;=Supuestos!$B$18,$C$42*$C$31*(1+Supuestos!$B$10)^(16-1)*(1-Supuestos!$B$11)^(16-1),0)</f>
        <v>0</v>
      </c>
      <c r="I110" s="5">
        <f>IF(16&lt;=Supuestos!$B$19,G110*$C$32,0)</f>
        <v>0</v>
      </c>
      <c r="J110" s="10">
        <f t="shared" si="33"/>
        <v>11537301.79</v>
      </c>
      <c r="K110" s="5">
        <f t="shared" si="34"/>
        <v>69832837.29</v>
      </c>
      <c r="L110" s="8">
        <f t="shared" si="35"/>
        <v>0.3662442262</v>
      </c>
      <c r="M110" s="5">
        <f>IF(16&lt;=Supuestos!$B$18,H110-Supuestos!$B$22*$C$26*(1+Supuestos!$B$9)^(16-1),0)</f>
        <v>0</v>
      </c>
      <c r="N110" s="5">
        <f>IF(16&lt;=Supuestos!$B$19,I110-Supuestos!$B$23*$C$29*(1+Supuestos!$B$9)^(16-1),0)</f>
        <v>0</v>
      </c>
      <c r="O110" s="5">
        <f t="shared" ref="O110:P110" si="50">O109+M110</f>
        <v>21941313.13</v>
      </c>
      <c r="P110" s="5">
        <f t="shared" si="50"/>
        <v>9582074.259</v>
      </c>
    </row>
    <row r="111" ht="14.25" customHeight="1">
      <c r="B111" s="19">
        <f>Supuestos!$B$25+17-1</f>
        <v>2042</v>
      </c>
      <c r="C111" s="5">
        <f>$C$39*(1+Supuestos!$B$9)^(17-1)</f>
        <v>33076745.01</v>
      </c>
      <c r="D111" s="5">
        <f>IF(B111&lt;=Supuestos!$B$26,$C$38*(1+Supuestos!$B$9)^(17-1),0)</f>
        <v>0</v>
      </c>
      <c r="E111" s="5">
        <f t="shared" si="32"/>
        <v>33076745.01</v>
      </c>
      <c r="F111" s="5">
        <f>$C$43*(1+Supuestos!$B$9)^(17-1)*(1-Supuestos!$B$11)^(17-1)</f>
        <v>7118359.317</v>
      </c>
      <c r="G111" s="5">
        <f>$C$44*(1+Supuestos!$B$9)^(17-1)*(1-Supuestos!$B$12)^(17-1)</f>
        <v>4898036.454</v>
      </c>
      <c r="H111" s="5">
        <f>IF(17&lt;=Supuestos!$B$18,$C$42*$C$31*(1+Supuestos!$B$10)^(17-1)*(1-Supuestos!$B$11)^(17-1),0)</f>
        <v>0</v>
      </c>
      <c r="I111" s="5">
        <f>IF(17&lt;=Supuestos!$B$19,G111*$C$32,0)</f>
        <v>0</v>
      </c>
      <c r="J111" s="10">
        <f t="shared" si="33"/>
        <v>12016395.77</v>
      </c>
      <c r="K111" s="5">
        <f t="shared" si="34"/>
        <v>81849233.06</v>
      </c>
      <c r="L111" s="8">
        <f t="shared" si="35"/>
        <v>0.3632883395</v>
      </c>
      <c r="M111" s="5">
        <f>IF(17&lt;=Supuestos!$B$18,H111-Supuestos!$B$22*$C$26*(1+Supuestos!$B$9)^(17-1),0)</f>
        <v>0</v>
      </c>
      <c r="N111" s="5">
        <f>IF(17&lt;=Supuestos!$B$19,I111-Supuestos!$B$23*$C$29*(1+Supuestos!$B$9)^(17-1),0)</f>
        <v>0</v>
      </c>
      <c r="O111" s="5">
        <f t="shared" ref="O111:P111" si="51">O110+M111</f>
        <v>21941313.13</v>
      </c>
      <c r="P111" s="5">
        <f t="shared" si="51"/>
        <v>9582074.259</v>
      </c>
    </row>
    <row r="112" ht="14.25" customHeight="1">
      <c r="B112" s="19">
        <f>Supuestos!$B$25+18-1</f>
        <v>2043</v>
      </c>
      <c r="C112" s="5">
        <f>$C$39*(1+Supuestos!$B$9)^(18-1)</f>
        <v>34730582.26</v>
      </c>
      <c r="D112" s="5">
        <f>IF(B112&lt;=Supuestos!$B$26,$C$38*(1+Supuestos!$B$9)^(18-1),0)</f>
        <v>0</v>
      </c>
      <c r="E112" s="5">
        <f t="shared" si="32"/>
        <v>34730582.26</v>
      </c>
      <c r="F112" s="5">
        <f>$C$43*(1+Supuestos!$B$9)^(18-1)*(1-Supuestos!$B$11)^(18-1)</f>
        <v>7436905.897</v>
      </c>
      <c r="G112" s="5">
        <f>$C$44*(1+Supuestos!$B$9)^(18-1)*(1-Supuestos!$B$12)^(18-1)</f>
        <v>5078651.548</v>
      </c>
      <c r="H112" s="5">
        <f>IF(18&lt;=Supuestos!$B$18,$C$42*$C$31*(1+Supuestos!$B$10)^(18-1)*(1-Supuestos!$B$11)^(18-1),0)</f>
        <v>0</v>
      </c>
      <c r="I112" s="5">
        <f>IF(18&lt;=Supuestos!$B$19,G112*$C$32,0)</f>
        <v>0</v>
      </c>
      <c r="J112" s="10">
        <f t="shared" si="33"/>
        <v>12515557.44</v>
      </c>
      <c r="K112" s="5">
        <f t="shared" si="34"/>
        <v>94364790.5</v>
      </c>
      <c r="L112" s="8">
        <f t="shared" si="35"/>
        <v>0.3603612905</v>
      </c>
      <c r="M112" s="5">
        <f>IF(18&lt;=Supuestos!$B$18,H112-Supuestos!$B$22*$C$26*(1+Supuestos!$B$9)^(18-1),0)</f>
        <v>0</v>
      </c>
      <c r="N112" s="5">
        <f>IF(18&lt;=Supuestos!$B$19,I112-Supuestos!$B$23*$C$29*(1+Supuestos!$B$9)^(18-1),0)</f>
        <v>0</v>
      </c>
      <c r="O112" s="5">
        <f t="shared" ref="O112:P112" si="52">O111+M112</f>
        <v>21941313.13</v>
      </c>
      <c r="P112" s="5">
        <f t="shared" si="52"/>
        <v>9582074.259</v>
      </c>
    </row>
    <row r="113" ht="14.25" customHeight="1">
      <c r="B113" s="19">
        <f>Supuestos!$B$25+19-1</f>
        <v>2044</v>
      </c>
      <c r="C113" s="5">
        <f>$C$39*(1+Supuestos!$B$9)^(19-1)</f>
        <v>36467111.38</v>
      </c>
      <c r="D113" s="5">
        <f>IF(B113&lt;=Supuestos!$B$26,$C$38*(1+Supuestos!$B$9)^(19-1),0)</f>
        <v>0</v>
      </c>
      <c r="E113" s="5">
        <f t="shared" si="32"/>
        <v>36467111.38</v>
      </c>
      <c r="F113" s="5">
        <f>$C$43*(1+Supuestos!$B$9)^(19-1)*(1-Supuestos!$B$11)^(19-1)</f>
        <v>7769707.436</v>
      </c>
      <c r="G113" s="5">
        <f>$C$44*(1+Supuestos!$B$9)^(19-1)*(1-Supuestos!$B$12)^(19-1)</f>
        <v>5265926.824</v>
      </c>
      <c r="H113" s="5">
        <f>IF(19&lt;=Supuestos!$B$18,$C$42*$C$31*(1+Supuestos!$B$10)^(19-1)*(1-Supuestos!$B$11)^(19-1),0)</f>
        <v>0</v>
      </c>
      <c r="I113" s="5">
        <f>IF(19&lt;=Supuestos!$B$19,G113*$C$32,0)</f>
        <v>0</v>
      </c>
      <c r="J113" s="10">
        <f t="shared" si="33"/>
        <v>13035634.26</v>
      </c>
      <c r="K113" s="5">
        <f t="shared" si="34"/>
        <v>107400424.8</v>
      </c>
      <c r="L113" s="8">
        <f t="shared" si="35"/>
        <v>0.3574627594</v>
      </c>
      <c r="M113" s="5">
        <f>IF(19&lt;=Supuestos!$B$18,H113-Supuestos!$B$22*$C$26*(1+Supuestos!$B$9)^(19-1),0)</f>
        <v>0</v>
      </c>
      <c r="N113" s="5">
        <f>IF(19&lt;=Supuestos!$B$19,I113-Supuestos!$B$23*$C$29*(1+Supuestos!$B$9)^(19-1),0)</f>
        <v>0</v>
      </c>
      <c r="O113" s="5">
        <f t="shared" ref="O113:P113" si="53">O112+M113</f>
        <v>21941313.13</v>
      </c>
      <c r="P113" s="5">
        <f t="shared" si="53"/>
        <v>9582074.259</v>
      </c>
    </row>
    <row r="114" ht="14.25" customHeight="1">
      <c r="B114" s="19">
        <f>Supuestos!$B$25+20-1</f>
        <v>2045</v>
      </c>
      <c r="C114" s="5">
        <f>$C$39*(1+Supuestos!$B$9)^(20-1)</f>
        <v>38290466.94</v>
      </c>
      <c r="D114" s="5">
        <f>IF(B114&lt;=Supuestos!$B$26,$C$38*(1+Supuestos!$B$9)^(20-1),0)</f>
        <v>0</v>
      </c>
      <c r="E114" s="5">
        <f t="shared" si="32"/>
        <v>38290466.94</v>
      </c>
      <c r="F114" s="5">
        <f>$C$43*(1+Supuestos!$B$9)^(20-1)*(1-Supuestos!$B$11)^(20-1)</f>
        <v>8117401.843</v>
      </c>
      <c r="G114" s="5">
        <f>$C$44*(1+Supuestos!$B$9)^(20-1)*(1-Supuestos!$B$12)^(20-1)</f>
        <v>5460107.876</v>
      </c>
      <c r="H114" s="5">
        <f>IF(20&lt;=Supuestos!$B$18,$C$42*$C$31*(1+Supuestos!$B$10)^(20-1)*(1-Supuestos!$B$11)^(20-1),0)</f>
        <v>0</v>
      </c>
      <c r="I114" s="5">
        <f>IF(20&lt;=Supuestos!$B$19,G114*$C$32,0)</f>
        <v>0</v>
      </c>
      <c r="J114" s="10">
        <f t="shared" si="33"/>
        <v>13577509.72</v>
      </c>
      <c r="K114" s="5">
        <f t="shared" si="34"/>
        <v>120977934.5</v>
      </c>
      <c r="L114" s="8">
        <f t="shared" si="35"/>
        <v>0.35459243</v>
      </c>
      <c r="M114" s="5">
        <f>IF(20&lt;=Supuestos!$B$18,H114-Supuestos!$B$22*$C$26*(1+Supuestos!$B$9)^(20-1),0)</f>
        <v>0</v>
      </c>
      <c r="N114" s="5">
        <f>IF(20&lt;=Supuestos!$B$19,I114-Supuestos!$B$23*$C$29*(1+Supuestos!$B$9)^(20-1),0)</f>
        <v>0</v>
      </c>
      <c r="O114" s="5">
        <f t="shared" ref="O114:P114" si="54">O113+M114</f>
        <v>21941313.13</v>
      </c>
      <c r="P114" s="5">
        <f t="shared" si="54"/>
        <v>9582074.259</v>
      </c>
    </row>
    <row r="115" ht="14.25" customHeight="1"/>
    <row r="116" ht="14.25" customHeight="1"/>
    <row r="117" ht="14.25" customHeight="1">
      <c r="A117" s="1" t="s">
        <v>200</v>
      </c>
    </row>
    <row r="118" ht="14.25" customHeight="1">
      <c r="B118" s="2" t="s">
        <v>184</v>
      </c>
      <c r="C118" s="2" t="s">
        <v>185</v>
      </c>
      <c r="D118" s="2" t="s">
        <v>186</v>
      </c>
      <c r="E118" s="2" t="s">
        <v>187</v>
      </c>
      <c r="F118" s="2" t="s">
        <v>188</v>
      </c>
      <c r="G118" s="2" t="s">
        <v>189</v>
      </c>
      <c r="H118" s="2" t="s">
        <v>190</v>
      </c>
      <c r="I118" s="2" t="s">
        <v>191</v>
      </c>
      <c r="J118" s="2" t="s">
        <v>192</v>
      </c>
      <c r="K118" s="2" t="s">
        <v>193</v>
      </c>
      <c r="L118" s="2" t="s">
        <v>194</v>
      </c>
      <c r="M118" s="2" t="s">
        <v>195</v>
      </c>
      <c r="N118" s="2" t="s">
        <v>196</v>
      </c>
      <c r="O118" s="2" t="s">
        <v>197</v>
      </c>
      <c r="P118" s="2" t="s">
        <v>198</v>
      </c>
    </row>
    <row r="119" ht="14.25" customHeight="1">
      <c r="B119" s="4" t="s">
        <v>199</v>
      </c>
      <c r="C119" s="5">
        <v>0.0</v>
      </c>
      <c r="D119" s="5">
        <v>0.0</v>
      </c>
      <c r="E119" s="5">
        <v>0.0</v>
      </c>
      <c r="F119" s="5">
        <v>0.0</v>
      </c>
      <c r="G119" s="5">
        <v>0.0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5">
        <f>-$D$34</f>
        <v>-9576025.875</v>
      </c>
      <c r="N119" s="5">
        <f>-$D$36</f>
        <v>-9641268</v>
      </c>
      <c r="O119" s="5">
        <f t="shared" ref="O119:P119" si="55">M119</f>
        <v>-9576025.875</v>
      </c>
      <c r="P119" s="5">
        <f t="shared" si="55"/>
        <v>-9641268</v>
      </c>
    </row>
    <row r="120" ht="14.25" customHeight="1">
      <c r="B120" s="19">
        <f>Supuestos!$B$25+1-1</f>
        <v>2026</v>
      </c>
      <c r="C120" s="5">
        <f>$D$39*(1+Supuestos!$B$9)^(1-1)</f>
        <v>15152838</v>
      </c>
      <c r="D120" s="5">
        <f>IF(B120&lt;=Supuestos!$B$26,$D$38*(1+Supuestos!$B$9)^(1-1),0)</f>
        <v>0</v>
      </c>
      <c r="E120" s="5">
        <f t="shared" ref="E120:E139" si="57">C120-D120</f>
        <v>15152838</v>
      </c>
      <c r="F120" s="5">
        <f>$D$43*(1+Supuestos!$B$9)^(1-1)*(1-Supuestos!$B$11)^(1-1)</f>
        <v>2767113.349</v>
      </c>
      <c r="G120" s="5">
        <f>$D$44*(1+Supuestos!$B$9)^(1-1)*(1-Supuestos!$B$12)^(1-1)</f>
        <v>2744097.633</v>
      </c>
      <c r="H120" s="5">
        <f>IF(1&lt;=Supuestos!$B$18,$D$42*$D$31*(1+Supuestos!$B$10)^(1-1)*(1-Supuestos!$B$11)^(1-1),0)</f>
        <v>1539383.45</v>
      </c>
      <c r="I120" s="5">
        <f>IF(1&lt;=Supuestos!$B$19,G120*$D$32,0)</f>
        <v>1372048.816</v>
      </c>
      <c r="J120" s="10">
        <f t="shared" ref="J120:J139" si="58">F120+G120-H120-I120</f>
        <v>2599778.715</v>
      </c>
      <c r="K120" s="5">
        <f t="shared" ref="K120:K139" si="59">K119+J120</f>
        <v>2599778.715</v>
      </c>
      <c r="L120" s="8">
        <f t="shared" ref="L120:L139" si="60">IF(E120&gt;0,J120/E120,0)</f>
        <v>0.1715704157</v>
      </c>
      <c r="M120" s="5">
        <f>IF(1&lt;=Supuestos!$B$18,H120-Supuestos!$B$22*$D$26*(1+Supuestos!$B$9)^(1-1),0)</f>
        <v>1279153.95</v>
      </c>
      <c r="N120" s="5">
        <f>IF(1&lt;=Supuestos!$B$19,I120-Supuestos!$B$23*$D$29*(1+Supuestos!$B$9)^(1-1),0)</f>
        <v>1018888.816</v>
      </c>
      <c r="O120" s="5">
        <f t="shared" ref="O120:P120" si="56">O119+M120</f>
        <v>-8296871.925</v>
      </c>
      <c r="P120" s="5">
        <f t="shared" si="56"/>
        <v>-8622379.184</v>
      </c>
    </row>
    <row r="121" ht="14.25" customHeight="1">
      <c r="B121" s="19">
        <f>Supuestos!$B$25+2-1</f>
        <v>2027</v>
      </c>
      <c r="C121" s="5">
        <f>$D$39*(1+Supuestos!$B$9)^(2-1)</f>
        <v>15910479.9</v>
      </c>
      <c r="D121" s="5">
        <f>IF(B121&lt;=Supuestos!$B$26,$D$38*(1+Supuestos!$B$9)^(2-1),0)</f>
        <v>0</v>
      </c>
      <c r="E121" s="5">
        <f t="shared" si="57"/>
        <v>15910479.9</v>
      </c>
      <c r="F121" s="5">
        <f>$D$43*(1+Supuestos!$B$9)^(2-1)*(1-Supuestos!$B$11)^(2-1)</f>
        <v>2890941.672</v>
      </c>
      <c r="G121" s="5">
        <f>$D$44*(1+Supuestos!$B$9)^(2-1)*(1-Supuestos!$B$12)^(2-1)</f>
        <v>2845286.233</v>
      </c>
      <c r="H121" s="5">
        <f>IF(2&lt;=Supuestos!$B$18,$D$42*$D$31*(1+Supuestos!$B$10)^(2-1)*(1-Supuestos!$B$11)^(2-1),0)</f>
        <v>1608270.86</v>
      </c>
      <c r="I121" s="5">
        <f>IF(2&lt;=Supuestos!$B$19,G121*$D$32,0)</f>
        <v>1422643.117</v>
      </c>
      <c r="J121" s="10">
        <f t="shared" si="58"/>
        <v>2705313.928</v>
      </c>
      <c r="K121" s="5">
        <f t="shared" si="59"/>
        <v>5305092.644</v>
      </c>
      <c r="L121" s="8">
        <f t="shared" si="60"/>
        <v>0.1700334588</v>
      </c>
      <c r="M121" s="5">
        <f>IF(2&lt;=Supuestos!$B$18,H121-Supuestos!$B$22*$D$26*(1+Supuestos!$B$9)^(2-1),0)</f>
        <v>1335029.885</v>
      </c>
      <c r="N121" s="5">
        <f>IF(2&lt;=Supuestos!$B$19,I121-Supuestos!$B$23*$D$29*(1+Supuestos!$B$9)^(2-1),0)</f>
        <v>1051825.117</v>
      </c>
      <c r="O121" s="5">
        <f t="shared" ref="O121:P121" si="61">O120+M121</f>
        <v>-6961842.04</v>
      </c>
      <c r="P121" s="5">
        <f t="shared" si="61"/>
        <v>-7570554.067</v>
      </c>
    </row>
    <row r="122" ht="14.25" customHeight="1">
      <c r="B122" s="19">
        <f>Supuestos!$B$25+3-1</f>
        <v>2028</v>
      </c>
      <c r="C122" s="5">
        <f>$D$39*(1+Supuestos!$B$9)^(3-1)</f>
        <v>16706003.9</v>
      </c>
      <c r="D122" s="5">
        <f>IF(B122&lt;=Supuestos!$B$26,$D$38*(1+Supuestos!$B$9)^(3-1),0)</f>
        <v>0</v>
      </c>
      <c r="E122" s="5">
        <f t="shared" si="57"/>
        <v>16706003.9</v>
      </c>
      <c r="F122" s="5">
        <f>$D$43*(1+Supuestos!$B$9)^(3-1)*(1-Supuestos!$B$11)^(3-1)</f>
        <v>3020311.311</v>
      </c>
      <c r="G122" s="5">
        <f>$D$44*(1+Supuestos!$B$9)^(3-1)*(1-Supuestos!$B$12)^(3-1)</f>
        <v>2950206.163</v>
      </c>
      <c r="H122" s="5">
        <f>IF(3&lt;=Supuestos!$B$18,$D$42*$D$31*(1+Supuestos!$B$10)^(3-1)*(1-Supuestos!$B$11)^(3-1),0)</f>
        <v>1680240.981</v>
      </c>
      <c r="I122" s="5">
        <f>IF(3&lt;=Supuestos!$B$19,G122*$D$32,0)</f>
        <v>1475103.081</v>
      </c>
      <c r="J122" s="10">
        <f t="shared" si="58"/>
        <v>2815173.412</v>
      </c>
      <c r="K122" s="5">
        <f t="shared" si="59"/>
        <v>8120266.056</v>
      </c>
      <c r="L122" s="8">
        <f t="shared" si="60"/>
        <v>0.1685126754</v>
      </c>
      <c r="M122" s="5">
        <f>IF(3&lt;=Supuestos!$B$18,H122-Supuestos!$B$22*$D$26*(1+Supuestos!$B$9)^(3-1),0)</f>
        <v>1393337.957</v>
      </c>
      <c r="N122" s="5">
        <f>IF(3&lt;=Supuestos!$B$19,I122-Supuestos!$B$23*$D$29*(1+Supuestos!$B$9)^(3-1),0)</f>
        <v>1085744.181</v>
      </c>
      <c r="O122" s="5">
        <f t="shared" ref="O122:P122" si="62">O121+M122</f>
        <v>-5568504.083</v>
      </c>
      <c r="P122" s="5">
        <f t="shared" si="62"/>
        <v>-6484809.886</v>
      </c>
    </row>
    <row r="123" ht="14.25" customHeight="1">
      <c r="B123" s="19">
        <f>Supuestos!$B$25+4-1</f>
        <v>2029</v>
      </c>
      <c r="C123" s="5">
        <f>$D$39*(1+Supuestos!$B$9)^(4-1)</f>
        <v>17541304.09</v>
      </c>
      <c r="D123" s="5">
        <f>IF(B123&lt;=Supuestos!$B$26,$D$38*(1+Supuestos!$B$9)^(4-1),0)</f>
        <v>0</v>
      </c>
      <c r="E123" s="5">
        <f t="shared" si="57"/>
        <v>17541304.09</v>
      </c>
      <c r="F123" s="5">
        <f>$D$43*(1+Supuestos!$B$9)^(4-1)*(1-Supuestos!$B$11)^(4-1)</f>
        <v>3155470.243</v>
      </c>
      <c r="G123" s="5">
        <f>$D$44*(1+Supuestos!$B$9)^(4-1)*(1-Supuestos!$B$12)^(4-1)</f>
        <v>3058995.015</v>
      </c>
      <c r="H123" s="5">
        <f>IF(4&lt;=Supuestos!$B$18,$D$42*$D$31*(1+Supuestos!$B$10)^(4-1)*(1-Supuestos!$B$11)^(4-1),0)</f>
        <v>1755431.765</v>
      </c>
      <c r="I123" s="5">
        <f>IF(4&lt;=Supuestos!$B$19,G123*$D$32,0)</f>
        <v>1529497.508</v>
      </c>
      <c r="J123" s="10">
        <f t="shared" si="58"/>
        <v>2929535.985</v>
      </c>
      <c r="K123" s="5">
        <f t="shared" si="59"/>
        <v>11049802.04</v>
      </c>
      <c r="L123" s="8">
        <f t="shared" si="60"/>
        <v>0.1670078787</v>
      </c>
      <c r="M123" s="5">
        <f>IF(4&lt;=Supuestos!$B$18,H123-Supuestos!$B$22*$D$26*(1+Supuestos!$B$9)^(4-1),0)</f>
        <v>1454183.59</v>
      </c>
      <c r="N123" s="5">
        <f>IF(4&lt;=Supuestos!$B$19,I123-Supuestos!$B$23*$D$29*(1+Supuestos!$B$9)^(4-1),0)</f>
        <v>1120670.663</v>
      </c>
      <c r="O123" s="5">
        <f t="shared" ref="O123:P123" si="63">O122+M123</f>
        <v>-4114320.493</v>
      </c>
      <c r="P123" s="5">
        <f t="shared" si="63"/>
        <v>-5364139.223</v>
      </c>
    </row>
    <row r="124" ht="14.25" customHeight="1">
      <c r="B124" s="19">
        <f>Supuestos!$B$25+5-1</f>
        <v>2030</v>
      </c>
      <c r="C124" s="5">
        <f>$D$39*(1+Supuestos!$B$9)^(5-1)</f>
        <v>18418369.29</v>
      </c>
      <c r="D124" s="5">
        <f>IF(B124&lt;=Supuestos!$B$26,$D$38*(1+Supuestos!$B$9)^(5-1),0)</f>
        <v>0</v>
      </c>
      <c r="E124" s="5">
        <f t="shared" si="57"/>
        <v>18418369.29</v>
      </c>
      <c r="F124" s="5">
        <f>$D$43*(1+Supuestos!$B$9)^(5-1)*(1-Supuestos!$B$11)^(5-1)</f>
        <v>3296677.536</v>
      </c>
      <c r="G124" s="5">
        <f>$D$44*(1+Supuestos!$B$9)^(5-1)*(1-Supuestos!$B$12)^(5-1)</f>
        <v>3171795.456</v>
      </c>
      <c r="H124" s="5">
        <f>IF(5&lt;=Supuestos!$B$18,$D$42*$D$31*(1+Supuestos!$B$10)^(5-1)*(1-Supuestos!$B$11)^(5-1),0)</f>
        <v>1833987.336</v>
      </c>
      <c r="I124" s="5">
        <f>IF(5&lt;=Supuestos!$B$19,G124*$D$32,0)</f>
        <v>1585897.728</v>
      </c>
      <c r="J124" s="10">
        <f t="shared" si="58"/>
        <v>3048587.928</v>
      </c>
      <c r="K124" s="5">
        <f t="shared" si="59"/>
        <v>14098389.97</v>
      </c>
      <c r="L124" s="8">
        <f t="shared" si="60"/>
        <v>0.1655188839</v>
      </c>
      <c r="M124" s="5">
        <f>IF(5&lt;=Supuestos!$B$18,H124-Supuestos!$B$22*$D$26*(1+Supuestos!$B$9)^(5-1),0)</f>
        <v>1517676.752</v>
      </c>
      <c r="N124" s="5">
        <f>IF(5&lt;=Supuestos!$B$19,I124-Supuestos!$B$23*$D$29*(1+Supuestos!$B$9)^(5-1),0)</f>
        <v>1156629.541</v>
      </c>
      <c r="O124" s="5">
        <f t="shared" ref="O124:P124" si="64">O123+M124</f>
        <v>-2596643.741</v>
      </c>
      <c r="P124" s="5">
        <f t="shared" si="64"/>
        <v>-4207509.682</v>
      </c>
    </row>
    <row r="125" ht="14.25" customHeight="1">
      <c r="B125" s="19">
        <f>Supuestos!$B$25+6-1</f>
        <v>2031</v>
      </c>
      <c r="C125" s="5">
        <f>$D$39*(1+Supuestos!$B$9)^(6-1)</f>
        <v>19339287.76</v>
      </c>
      <c r="D125" s="5">
        <f>IF(B125&lt;=Supuestos!$B$26,$D$38*(1+Supuestos!$B$9)^(6-1),0)</f>
        <v>0</v>
      </c>
      <c r="E125" s="5">
        <f t="shared" si="57"/>
        <v>19339287.76</v>
      </c>
      <c r="F125" s="5">
        <f>$D$43*(1+Supuestos!$B$9)^(6-1)*(1-Supuestos!$B$11)^(6-1)</f>
        <v>3444203.856</v>
      </c>
      <c r="G125" s="5">
        <f>$D$44*(1+Supuestos!$B$9)^(6-1)*(1-Supuestos!$B$12)^(6-1)</f>
        <v>3288755.414</v>
      </c>
      <c r="H125" s="5">
        <f>IF(6&lt;=Supuestos!$B$18,$D$42*$D$31*(1+Supuestos!$B$10)^(6-1)*(1-Supuestos!$B$11)^(6-1),0)</f>
        <v>1916058.269</v>
      </c>
      <c r="I125" s="5">
        <f>IF(6&lt;=Supuestos!$B$19,G125*$D$32,0)</f>
        <v>1644377.707</v>
      </c>
      <c r="J125" s="10">
        <f t="shared" si="58"/>
        <v>3172523.293</v>
      </c>
      <c r="K125" s="5">
        <f t="shared" si="59"/>
        <v>17270913.26</v>
      </c>
      <c r="L125" s="8">
        <f t="shared" si="60"/>
        <v>0.1640455084</v>
      </c>
      <c r="M125" s="5">
        <f>IF(6&lt;=Supuestos!$B$18,H125-Supuestos!$B$22*$D$26*(1+Supuestos!$B$9)^(6-1),0)</f>
        <v>1583932.156</v>
      </c>
      <c r="N125" s="5">
        <f>IF(6&lt;=Supuestos!$B$19,I125-Supuestos!$B$23*$D$29*(1+Supuestos!$B$9)^(6-1),0)</f>
        <v>1193646.11</v>
      </c>
      <c r="O125" s="5">
        <f t="shared" ref="O125:P125" si="65">O124+M125</f>
        <v>-1012711.584</v>
      </c>
      <c r="P125" s="5">
        <f t="shared" si="65"/>
        <v>-3013863.572</v>
      </c>
    </row>
    <row r="126" ht="14.25" customHeight="1">
      <c r="B126" s="19">
        <f>Supuestos!$B$25+7-1</f>
        <v>2032</v>
      </c>
      <c r="C126" s="5">
        <f>$D$39*(1+Supuestos!$B$9)^(7-1)</f>
        <v>20306252.15</v>
      </c>
      <c r="D126" s="5">
        <f>IF(B126&lt;=Supuestos!$B$26,$D$38*(1+Supuestos!$B$9)^(7-1),0)</f>
        <v>0</v>
      </c>
      <c r="E126" s="5">
        <f t="shared" si="57"/>
        <v>20306252.15</v>
      </c>
      <c r="F126" s="5">
        <f>$D$43*(1+Supuestos!$B$9)^(7-1)*(1-Supuestos!$B$11)^(7-1)</f>
        <v>3598331.978</v>
      </c>
      <c r="G126" s="5">
        <f>$D$44*(1+Supuestos!$B$9)^(7-1)*(1-Supuestos!$B$12)^(7-1)</f>
        <v>3410028.27</v>
      </c>
      <c r="H126" s="5">
        <f>IF(7&lt;=Supuestos!$B$18,$D$42*$D$31*(1+Supuestos!$B$10)^(7-1)*(1-Supuestos!$B$11)^(7-1),0)</f>
        <v>2001801.877</v>
      </c>
      <c r="I126" s="5">
        <f>IF(7&lt;=Supuestos!$B$19,G126*$D$32,0)</f>
        <v>1705014.135</v>
      </c>
      <c r="J126" s="10">
        <f t="shared" si="58"/>
        <v>3301544.236</v>
      </c>
      <c r="K126" s="5">
        <f t="shared" si="59"/>
        <v>20572457.5</v>
      </c>
      <c r="L126" s="8">
        <f t="shared" si="60"/>
        <v>0.1625875722</v>
      </c>
      <c r="M126" s="5">
        <f>IF(7&lt;=Supuestos!$B$18,H126-Supuestos!$B$22*$D$26*(1+Supuestos!$B$9)^(7-1),0)</f>
        <v>1653069.458</v>
      </c>
      <c r="N126" s="5">
        <f>IF(7&lt;=Supuestos!$B$19,I126-Supuestos!$B$23*$D$29*(1+Supuestos!$B$9)^(7-1),0)</f>
        <v>1231745.958</v>
      </c>
      <c r="O126" s="5">
        <f t="shared" ref="O126:P126" si="66">O125+M126</f>
        <v>640357.874</v>
      </c>
      <c r="P126" s="5">
        <f t="shared" si="66"/>
        <v>-1782117.613</v>
      </c>
    </row>
    <row r="127" ht="14.25" customHeight="1">
      <c r="B127" s="19">
        <f>Supuestos!$B$25+8-1</f>
        <v>2033</v>
      </c>
      <c r="C127" s="5">
        <f>$D$39*(1+Supuestos!$B$9)^(8-1)</f>
        <v>21321564.75</v>
      </c>
      <c r="D127" s="5">
        <f>IF(B127&lt;=Supuestos!$B$26,$D$38*(1+Supuestos!$B$9)^(8-1),0)</f>
        <v>0</v>
      </c>
      <c r="E127" s="5">
        <f t="shared" si="57"/>
        <v>21321564.75</v>
      </c>
      <c r="F127" s="5">
        <f>$D$43*(1+Supuestos!$B$9)^(8-1)*(1-Supuestos!$B$11)^(8-1)</f>
        <v>3759357.334</v>
      </c>
      <c r="G127" s="5">
        <f>$D$44*(1+Supuestos!$B$9)^(8-1)*(1-Supuestos!$B$12)^(8-1)</f>
        <v>3535773.062</v>
      </c>
      <c r="H127" s="5">
        <f>IF(8&lt;=Supuestos!$B$18,$D$42*$D$31*(1+Supuestos!$B$10)^(8-1)*(1-Supuestos!$B$11)^(8-1),0)</f>
        <v>2091382.511</v>
      </c>
      <c r="I127" s="5">
        <f>IF(8&lt;=Supuestos!$B$19,G127*$D$32,0)</f>
        <v>1767886.531</v>
      </c>
      <c r="J127" s="10">
        <f t="shared" si="58"/>
        <v>3435861.354</v>
      </c>
      <c r="K127" s="5">
        <f t="shared" si="59"/>
        <v>24008318.85</v>
      </c>
      <c r="L127" s="8">
        <f t="shared" si="60"/>
        <v>0.1611448969</v>
      </c>
      <c r="M127" s="5">
        <f>IF(8&lt;=Supuestos!$B$18,H127-Supuestos!$B$22*$D$26*(1+Supuestos!$B$9)^(8-1),0)</f>
        <v>1725213.471</v>
      </c>
      <c r="N127" s="5">
        <f>IF(8&lt;=Supuestos!$B$19,I127-Supuestos!$B$23*$D$29*(1+Supuestos!$B$9)^(8-1),0)</f>
        <v>1270954.946</v>
      </c>
      <c r="O127" s="5">
        <f t="shared" ref="O127:P127" si="67">O126+M127</f>
        <v>2365571.346</v>
      </c>
      <c r="P127" s="5">
        <f t="shared" si="67"/>
        <v>-511162.6676</v>
      </c>
    </row>
    <row r="128" ht="14.25" customHeight="1">
      <c r="B128" s="19">
        <f>Supuestos!$B$25+9-1</f>
        <v>2034</v>
      </c>
      <c r="C128" s="5">
        <f>$D$39*(1+Supuestos!$B$9)^(9-1)</f>
        <v>22387642.99</v>
      </c>
      <c r="D128" s="5">
        <f>IF(B128&lt;=Supuestos!$B$26,$D$38*(1+Supuestos!$B$9)^(9-1),0)</f>
        <v>0</v>
      </c>
      <c r="E128" s="5">
        <f t="shared" si="57"/>
        <v>22387642.99</v>
      </c>
      <c r="F128" s="5">
        <f>$D$43*(1+Supuestos!$B$9)^(9-1)*(1-Supuestos!$B$11)^(9-1)</f>
        <v>3927588.575</v>
      </c>
      <c r="G128" s="5">
        <f>$D$44*(1+Supuestos!$B$9)^(9-1)*(1-Supuestos!$B$12)^(9-1)</f>
        <v>3666154.694</v>
      </c>
      <c r="H128" s="5">
        <f>IF(9&lt;=Supuestos!$B$18,$D$42*$D$31*(1+Supuestos!$B$10)^(9-1)*(1-Supuestos!$B$11)^(9-1),0)</f>
        <v>2184971.878</v>
      </c>
      <c r="I128" s="5">
        <f>IF(9&lt;=Supuestos!$B$19,G128*$D$32,0)</f>
        <v>1833077.347</v>
      </c>
      <c r="J128" s="10">
        <f t="shared" si="58"/>
        <v>3575694.043</v>
      </c>
      <c r="K128" s="5">
        <f t="shared" si="59"/>
        <v>27584012.9</v>
      </c>
      <c r="L128" s="8">
        <f t="shared" si="60"/>
        <v>0.1597173068</v>
      </c>
      <c r="M128" s="5">
        <f>IF(9&lt;=Supuestos!$B$18,H128-Supuestos!$B$22*$D$26*(1+Supuestos!$B$9)^(9-1),0)</f>
        <v>1800494.387</v>
      </c>
      <c r="N128" s="5">
        <f>IF(9&lt;=Supuestos!$B$19,I128-Supuestos!$B$23*$D$29*(1+Supuestos!$B$9)^(9-1),0)</f>
        <v>1311299.182</v>
      </c>
      <c r="O128" s="5">
        <f t="shared" ref="O128:P128" si="68">O127+M128</f>
        <v>4166065.732</v>
      </c>
      <c r="P128" s="5">
        <f t="shared" si="68"/>
        <v>800136.5148</v>
      </c>
    </row>
    <row r="129" ht="14.25" customHeight="1">
      <c r="B129" s="19">
        <f>Supuestos!$B$25+10-1</f>
        <v>2035</v>
      </c>
      <c r="C129" s="5">
        <f>$D$39*(1+Supuestos!$B$9)^(10-1)</f>
        <v>23507025.14</v>
      </c>
      <c r="D129" s="5">
        <f>IF(B129&lt;=Supuestos!$B$26,$D$38*(1+Supuestos!$B$9)^(10-1),0)</f>
        <v>0</v>
      </c>
      <c r="E129" s="5">
        <f t="shared" si="57"/>
        <v>23507025.14</v>
      </c>
      <c r="F129" s="5">
        <f>$D$43*(1+Supuestos!$B$9)^(10-1)*(1-Supuestos!$B$11)^(10-1)</f>
        <v>4103348.164</v>
      </c>
      <c r="G129" s="5">
        <f>$D$44*(1+Supuestos!$B$9)^(10-1)*(1-Supuestos!$B$12)^(10-1)</f>
        <v>3801344.148</v>
      </c>
      <c r="H129" s="5">
        <f>IF(10&lt;=Supuestos!$B$18,$D$42*$D$31*(1+Supuestos!$B$10)^(10-1)*(1-Supuestos!$B$11)^(10-1),0)</f>
        <v>2282749.37</v>
      </c>
      <c r="I129" s="5">
        <f>IF(10&lt;=Supuestos!$B$19,G129*$D$32,0)</f>
        <v>1900672.074</v>
      </c>
      <c r="J129" s="10">
        <f t="shared" si="58"/>
        <v>3721270.868</v>
      </c>
      <c r="K129" s="5">
        <f t="shared" si="59"/>
        <v>31305283.76</v>
      </c>
      <c r="L129" s="8">
        <f t="shared" si="60"/>
        <v>0.1583046279</v>
      </c>
      <c r="M129" s="5">
        <f>IF(10&lt;=Supuestos!$B$18,H129-Supuestos!$B$22*$D$26*(1+Supuestos!$B$9)^(10-1),0)</f>
        <v>1879048.004</v>
      </c>
      <c r="N129" s="5">
        <f>IF(10&lt;=Supuestos!$B$19,I129-Supuestos!$B$23*$D$29*(1+Supuestos!$B$9)^(10-1),0)</f>
        <v>1352805.001</v>
      </c>
      <c r="O129" s="5">
        <f t="shared" ref="O129:P129" si="69">O128+M129</f>
        <v>6045113.736</v>
      </c>
      <c r="P129" s="5">
        <f t="shared" si="69"/>
        <v>2152941.516</v>
      </c>
    </row>
    <row r="130" ht="14.25" customHeight="1">
      <c r="B130" s="19">
        <f>Supuestos!$B$25+11-1</f>
        <v>2036</v>
      </c>
      <c r="C130" s="5">
        <f>$D$39*(1+Supuestos!$B$9)^(11-1)</f>
        <v>24682376.4</v>
      </c>
      <c r="D130" s="5">
        <f>IF(B130&lt;=Supuestos!$B$26,$D$38*(1+Supuestos!$B$9)^(11-1),0)</f>
        <v>0</v>
      </c>
      <c r="E130" s="5">
        <f t="shared" si="57"/>
        <v>24682376.4</v>
      </c>
      <c r="F130" s="5">
        <f>$D$43*(1+Supuestos!$B$9)^(11-1)*(1-Supuestos!$B$11)^(11-1)</f>
        <v>4286972.994</v>
      </c>
      <c r="G130" s="5">
        <f>$D$44*(1+Supuestos!$B$9)^(11-1)*(1-Supuestos!$B$12)^(11-1)</f>
        <v>3941518.714</v>
      </c>
      <c r="H130" s="5">
        <f>IF(11&lt;=Supuestos!$B$18,$D$42*$D$31*(1+Supuestos!$B$10)^(11-1)*(1-Supuestos!$B$11)^(11-1),0)</f>
        <v>2384902.404</v>
      </c>
      <c r="I130" s="5">
        <f>IF(11&lt;=Supuestos!$B$19,G130*$D$32,0)</f>
        <v>1970759.357</v>
      </c>
      <c r="J130" s="10">
        <f t="shared" si="58"/>
        <v>3872829.947</v>
      </c>
      <c r="K130" s="5">
        <f t="shared" si="59"/>
        <v>35178113.71</v>
      </c>
      <c r="L130" s="8">
        <f t="shared" si="60"/>
        <v>0.1569066886</v>
      </c>
      <c r="M130" s="5">
        <f>IF(11&lt;=Supuestos!$B$18,H130-Supuestos!$B$22*$D$26*(1+Supuestos!$B$9)^(11-1),0)</f>
        <v>1961015.97</v>
      </c>
      <c r="N130" s="5">
        <f>IF(11&lt;=Supuestos!$B$19,I130-Supuestos!$B$23*$D$29*(1+Supuestos!$B$9)^(11-1),0)</f>
        <v>1395498.93</v>
      </c>
      <c r="O130" s="5">
        <f t="shared" ref="O130:P130" si="70">O129+M130</f>
        <v>8006129.706</v>
      </c>
      <c r="P130" s="5">
        <f t="shared" si="70"/>
        <v>3548440.446</v>
      </c>
    </row>
    <row r="131" ht="14.25" customHeight="1">
      <c r="B131" s="19">
        <f>Supuestos!$B$25+12-1</f>
        <v>2037</v>
      </c>
      <c r="C131" s="5">
        <f>$D$39*(1+Supuestos!$B$9)^(12-1)</f>
        <v>25916495.22</v>
      </c>
      <c r="D131" s="5">
        <f>IF(B131&lt;=Supuestos!$B$26,$D$38*(1+Supuestos!$B$9)^(12-1),0)</f>
        <v>0</v>
      </c>
      <c r="E131" s="5">
        <f t="shared" si="57"/>
        <v>25916495.22</v>
      </c>
      <c r="F131" s="5">
        <f>$D$43*(1+Supuestos!$B$9)^(12-1)*(1-Supuestos!$B$11)^(12-1)</f>
        <v>4478815.035</v>
      </c>
      <c r="G131" s="5">
        <f>$D$44*(1+Supuestos!$B$9)^(12-1)*(1-Supuestos!$B$12)^(12-1)</f>
        <v>4086862.216</v>
      </c>
      <c r="H131" s="5">
        <f>IF(12&lt;=Supuestos!$B$18,$D$42*$D$31*(1+Supuestos!$B$10)^(12-1)*(1-Supuestos!$B$11)^(12-1),0)</f>
        <v>2491626.787</v>
      </c>
      <c r="I131" s="5">
        <f>IF(12&lt;=Supuestos!$B$19,G131*$D$32,0)</f>
        <v>2043431.108</v>
      </c>
      <c r="J131" s="10">
        <f t="shared" si="58"/>
        <v>4030619.357</v>
      </c>
      <c r="K131" s="5">
        <f t="shared" si="59"/>
        <v>39208733.07</v>
      </c>
      <c r="L131" s="8">
        <f t="shared" si="60"/>
        <v>0.1555233191</v>
      </c>
      <c r="M131" s="5">
        <f>IF(12&lt;=Supuestos!$B$18,H131-Supuestos!$B$22*$D$26*(1+Supuestos!$B$9)^(12-1),0)</f>
        <v>2046546.031</v>
      </c>
      <c r="N131" s="5">
        <f>IF(12&lt;=Supuestos!$B$19,I131-Supuestos!$B$23*$D$29*(1+Supuestos!$B$9)^(12-1),0)</f>
        <v>1439407.66</v>
      </c>
      <c r="O131" s="5">
        <f t="shared" ref="O131:P131" si="71">O130+M131</f>
        <v>10052675.74</v>
      </c>
      <c r="P131" s="5">
        <f t="shared" si="71"/>
        <v>4987848.107</v>
      </c>
    </row>
    <row r="132" ht="14.25" customHeight="1">
      <c r="B132" s="19">
        <f>Supuestos!$B$25+13-1</f>
        <v>2038</v>
      </c>
      <c r="C132" s="5">
        <f>$D$39*(1+Supuestos!$B$9)^(13-1)</f>
        <v>27212319.98</v>
      </c>
      <c r="D132" s="5">
        <f>IF(B132&lt;=Supuestos!$B$26,$D$38*(1+Supuestos!$B$9)^(13-1),0)</f>
        <v>0</v>
      </c>
      <c r="E132" s="5">
        <f t="shared" si="57"/>
        <v>27212319.98</v>
      </c>
      <c r="F132" s="5">
        <f>$D$43*(1+Supuestos!$B$9)^(13-1)*(1-Supuestos!$B$11)^(13-1)</f>
        <v>4679242.008</v>
      </c>
      <c r="G132" s="5">
        <f>$D$44*(1+Supuestos!$B$9)^(13-1)*(1-Supuestos!$B$12)^(13-1)</f>
        <v>4237565.26</v>
      </c>
      <c r="H132" s="5">
        <f>IF(13&lt;=Supuestos!$B$18,$D$42*$D$31*(1+Supuestos!$B$10)^(13-1)*(1-Supuestos!$B$11)^(13-1),0)</f>
        <v>2603127.085</v>
      </c>
      <c r="I132" s="5">
        <f>IF(13&lt;=Supuestos!$B$19,G132*$D$32,0)</f>
        <v>2118782.63</v>
      </c>
      <c r="J132" s="10">
        <f t="shared" si="58"/>
        <v>4194897.553</v>
      </c>
      <c r="K132" s="5">
        <f t="shared" si="59"/>
        <v>43403630.62</v>
      </c>
      <c r="L132" s="8">
        <f t="shared" si="60"/>
        <v>0.154154352</v>
      </c>
      <c r="M132" s="5">
        <f>IF(13&lt;=Supuestos!$B$18,H132-Supuestos!$B$22*$D$26*(1+Supuestos!$B$9)^(13-1),0)</f>
        <v>2135792.292</v>
      </c>
      <c r="N132" s="5">
        <f>IF(13&lt;=Supuestos!$B$19,I132-Supuestos!$B$23*$D$29*(1+Supuestos!$B$9)^(13-1),0)</f>
        <v>1484558.01</v>
      </c>
      <c r="O132" s="5">
        <f t="shared" ref="O132:P132" si="72">O131+M132</f>
        <v>12188468.03</v>
      </c>
      <c r="P132" s="5">
        <f t="shared" si="72"/>
        <v>6472406.117</v>
      </c>
    </row>
    <row r="133" ht="14.25" customHeight="1">
      <c r="B133" s="19">
        <f>Supuestos!$B$25+14-1</f>
        <v>2039</v>
      </c>
      <c r="C133" s="5">
        <f>$D$39*(1+Supuestos!$B$9)^(14-1)</f>
        <v>28572935.98</v>
      </c>
      <c r="D133" s="5">
        <f>IF(B133&lt;=Supuestos!$B$26,$D$38*(1+Supuestos!$B$9)^(14-1),0)</f>
        <v>0</v>
      </c>
      <c r="E133" s="5">
        <f t="shared" si="57"/>
        <v>28572935.98</v>
      </c>
      <c r="F133" s="5">
        <f>$D$43*(1+Supuestos!$B$9)^(14-1)*(1-Supuestos!$B$11)^(14-1)</f>
        <v>4888638.088</v>
      </c>
      <c r="G133" s="5">
        <f>$D$44*(1+Supuestos!$B$9)^(14-1)*(1-Supuestos!$B$12)^(14-1)</f>
        <v>4393825.479</v>
      </c>
      <c r="H133" s="5">
        <f>IF(14&lt;=Supuestos!$B$18,$D$42*$D$31*(1+Supuestos!$B$10)^(14-1)*(1-Supuestos!$B$11)^(14-1),0)</f>
        <v>2719617.022</v>
      </c>
      <c r="I133" s="5">
        <f>IF(14&lt;=Supuestos!$B$19,G133*$D$32,0)</f>
        <v>2196912.74</v>
      </c>
      <c r="J133" s="10">
        <f t="shared" si="58"/>
        <v>4365933.805</v>
      </c>
      <c r="K133" s="5">
        <f t="shared" si="59"/>
        <v>47769564.43</v>
      </c>
      <c r="L133" s="8">
        <f t="shared" si="60"/>
        <v>0.1527996216</v>
      </c>
      <c r="M133" s="5">
        <f>IF(14&lt;=Supuestos!$B$18,H133-Supuestos!$B$22*$D$26*(1+Supuestos!$B$9)^(14-1),0)</f>
        <v>2228915.489</v>
      </c>
      <c r="N133" s="5">
        <f>IF(14&lt;=Supuestos!$B$19,I133-Supuestos!$B$23*$D$29*(1+Supuestos!$B$9)^(14-1),0)</f>
        <v>1530976.889</v>
      </c>
      <c r="O133" s="5">
        <f t="shared" ref="O133:P133" si="73">O132+M133</f>
        <v>14417383.52</v>
      </c>
      <c r="P133" s="5">
        <f t="shared" si="73"/>
        <v>8003383.006</v>
      </c>
    </row>
    <row r="134" ht="14.25" customHeight="1">
      <c r="B134" s="19">
        <f>Supuestos!$B$25+15-1</f>
        <v>2040</v>
      </c>
      <c r="C134" s="5">
        <f>$D$39*(1+Supuestos!$B$9)^(15-1)</f>
        <v>30001582.78</v>
      </c>
      <c r="D134" s="5">
        <f>IF(B134&lt;=Supuestos!$B$26,$D$38*(1+Supuestos!$B$9)^(15-1),0)</f>
        <v>0</v>
      </c>
      <c r="E134" s="5">
        <f t="shared" si="57"/>
        <v>30001582.78</v>
      </c>
      <c r="F134" s="5">
        <f>$D$43*(1+Supuestos!$B$9)^(15-1)*(1-Supuestos!$B$11)^(15-1)</f>
        <v>5107404.643</v>
      </c>
      <c r="G134" s="5">
        <f>$D$44*(1+Supuestos!$B$9)^(15-1)*(1-Supuestos!$B$12)^(15-1)</f>
        <v>4555847.794</v>
      </c>
      <c r="H134" s="5">
        <f>IF(15&lt;=Supuestos!$B$18,$D$42*$D$31*(1+Supuestos!$B$10)^(15-1)*(1-Supuestos!$B$11)^(15-1),0)</f>
        <v>2841319.884</v>
      </c>
      <c r="I134" s="5">
        <f>IF(15&lt;=Supuestos!$B$19,G134*$D$32,0)</f>
        <v>2277923.897</v>
      </c>
      <c r="J134" s="10">
        <f t="shared" si="58"/>
        <v>4544008.655</v>
      </c>
      <c r="K134" s="5">
        <f t="shared" si="59"/>
        <v>52313573.08</v>
      </c>
      <c r="L134" s="8">
        <f t="shared" si="60"/>
        <v>0.1514589643</v>
      </c>
      <c r="M134" s="5">
        <f>IF(15&lt;=Supuestos!$B$18,H134-Supuestos!$B$22*$D$26*(1+Supuestos!$B$9)^(15-1),0)</f>
        <v>2326083.274</v>
      </c>
      <c r="N134" s="5">
        <f>IF(15&lt;=Supuestos!$B$19,I134-Supuestos!$B$23*$D$29*(1+Supuestos!$B$9)^(15-1),0)</f>
        <v>1578691.253</v>
      </c>
      <c r="O134" s="5">
        <f t="shared" ref="O134:P134" si="74">O133+M134</f>
        <v>16743466.79</v>
      </c>
      <c r="P134" s="5">
        <f t="shared" si="74"/>
        <v>9582074.259</v>
      </c>
    </row>
    <row r="135" ht="14.25" customHeight="1">
      <c r="B135" s="19">
        <f>Supuestos!$B$25+16-1</f>
        <v>2041</v>
      </c>
      <c r="C135" s="5">
        <f>$D$39*(1+Supuestos!$B$9)^(16-1)</f>
        <v>31501661.92</v>
      </c>
      <c r="D135" s="5">
        <f>IF(B135&lt;=Supuestos!$B$26,$D$38*(1+Supuestos!$B$9)^(16-1),0)</f>
        <v>0</v>
      </c>
      <c r="E135" s="5">
        <f t="shared" si="57"/>
        <v>31501661.92</v>
      </c>
      <c r="F135" s="5">
        <f>$D$43*(1+Supuestos!$B$9)^(16-1)*(1-Supuestos!$B$11)^(16-1)</f>
        <v>5335961</v>
      </c>
      <c r="G135" s="5">
        <f>$D$44*(1+Supuestos!$B$9)^(16-1)*(1-Supuestos!$B$12)^(16-1)</f>
        <v>4723844.681</v>
      </c>
      <c r="H135" s="5">
        <f>IF(16&lt;=Supuestos!$B$18,$D$42*$D$31*(1+Supuestos!$B$10)^(16-1)*(1-Supuestos!$B$11)^(16-1),0)</f>
        <v>0</v>
      </c>
      <c r="I135" s="5">
        <f>IF(16&lt;=Supuestos!$B$19,G135*$D$32,0)</f>
        <v>0</v>
      </c>
      <c r="J135" s="10">
        <f t="shared" si="58"/>
        <v>10059805.68</v>
      </c>
      <c r="K135" s="5">
        <f t="shared" si="59"/>
        <v>62373378.76</v>
      </c>
      <c r="L135" s="8">
        <f t="shared" si="60"/>
        <v>0.3193420623</v>
      </c>
      <c r="M135" s="5">
        <f>IF(16&lt;=Supuestos!$B$18,H135-Supuestos!$B$22*$D$26*(1+Supuestos!$B$9)^(16-1),0)</f>
        <v>0</v>
      </c>
      <c r="N135" s="5">
        <f>IF(16&lt;=Supuestos!$B$19,I135-Supuestos!$B$23*$D$29*(1+Supuestos!$B$9)^(16-1),0)</f>
        <v>0</v>
      </c>
      <c r="O135" s="5">
        <f t="shared" ref="O135:P135" si="75">O134+M135</f>
        <v>16743466.79</v>
      </c>
      <c r="P135" s="5">
        <f t="shared" si="75"/>
        <v>9582074.259</v>
      </c>
    </row>
    <row r="136" ht="14.25" customHeight="1">
      <c r="B136" s="19">
        <f>Supuestos!$B$25+17-1</f>
        <v>2042</v>
      </c>
      <c r="C136" s="5">
        <f>$D$39*(1+Supuestos!$B$9)^(17-1)</f>
        <v>33076745.01</v>
      </c>
      <c r="D136" s="5">
        <f>IF(B136&lt;=Supuestos!$B$26,$D$38*(1+Supuestos!$B$9)^(17-1),0)</f>
        <v>0</v>
      </c>
      <c r="E136" s="5">
        <f t="shared" si="57"/>
        <v>33076745.01</v>
      </c>
      <c r="F136" s="5">
        <f>$D$43*(1+Supuestos!$B$9)^(17-1)*(1-Supuestos!$B$11)^(17-1)</f>
        <v>5574745.255</v>
      </c>
      <c r="G136" s="5">
        <f>$D$44*(1+Supuestos!$B$9)^(17-1)*(1-Supuestos!$B$12)^(17-1)</f>
        <v>4898036.454</v>
      </c>
      <c r="H136" s="5">
        <f>IF(17&lt;=Supuestos!$B$18,$D$42*$D$31*(1+Supuestos!$B$10)^(17-1)*(1-Supuestos!$B$11)^(17-1),0)</f>
        <v>0</v>
      </c>
      <c r="I136" s="5">
        <f>IF(17&lt;=Supuestos!$B$19,G136*$D$32,0)</f>
        <v>0</v>
      </c>
      <c r="J136" s="10">
        <f t="shared" si="58"/>
        <v>10472781.71</v>
      </c>
      <c r="K136" s="5">
        <f t="shared" si="59"/>
        <v>72846160.47</v>
      </c>
      <c r="L136" s="8">
        <f t="shared" si="60"/>
        <v>0.3166206864</v>
      </c>
      <c r="M136" s="5">
        <f>IF(17&lt;=Supuestos!$B$18,H136-Supuestos!$B$22*$D$26*(1+Supuestos!$B$9)^(17-1),0)</f>
        <v>0</v>
      </c>
      <c r="N136" s="5">
        <f>IF(17&lt;=Supuestos!$B$19,I136-Supuestos!$B$23*$D$29*(1+Supuestos!$B$9)^(17-1),0)</f>
        <v>0</v>
      </c>
      <c r="O136" s="5">
        <f t="shared" ref="O136:P136" si="76">O135+M136</f>
        <v>16743466.79</v>
      </c>
      <c r="P136" s="5">
        <f t="shared" si="76"/>
        <v>9582074.259</v>
      </c>
    </row>
    <row r="137" ht="14.25" customHeight="1">
      <c r="B137" s="19">
        <f>Supuestos!$B$25+18-1</f>
        <v>2043</v>
      </c>
      <c r="C137" s="5">
        <f>$D$39*(1+Supuestos!$B$9)^(18-1)</f>
        <v>34730582.26</v>
      </c>
      <c r="D137" s="5">
        <f>IF(B137&lt;=Supuestos!$B$26,$D$38*(1+Supuestos!$B$9)^(18-1),0)</f>
        <v>0</v>
      </c>
      <c r="E137" s="5">
        <f t="shared" si="57"/>
        <v>34730582.26</v>
      </c>
      <c r="F137" s="5">
        <f>$D$43*(1+Supuestos!$B$9)^(18-1)*(1-Supuestos!$B$11)^(18-1)</f>
        <v>5824215.105</v>
      </c>
      <c r="G137" s="5">
        <f>$D$44*(1+Supuestos!$B$9)^(18-1)*(1-Supuestos!$B$12)^(18-1)</f>
        <v>5078651.548</v>
      </c>
      <c r="H137" s="5">
        <f>IF(18&lt;=Supuestos!$B$18,$D$42*$D$31*(1+Supuestos!$B$10)^(18-1)*(1-Supuestos!$B$11)^(18-1),0)</f>
        <v>0</v>
      </c>
      <c r="I137" s="5">
        <f>IF(18&lt;=Supuestos!$B$19,G137*$D$32,0)</f>
        <v>0</v>
      </c>
      <c r="J137" s="10">
        <f t="shared" si="58"/>
        <v>10902866.65</v>
      </c>
      <c r="K137" s="5">
        <f t="shared" si="59"/>
        <v>83749027.12</v>
      </c>
      <c r="L137" s="8">
        <f t="shared" si="60"/>
        <v>0.3139269757</v>
      </c>
      <c r="M137" s="5">
        <f>IF(18&lt;=Supuestos!$B$18,H137-Supuestos!$B$22*$D$26*(1+Supuestos!$B$9)^(18-1),0)</f>
        <v>0</v>
      </c>
      <c r="N137" s="5">
        <f>IF(18&lt;=Supuestos!$B$19,I137-Supuestos!$B$23*$D$29*(1+Supuestos!$B$9)^(18-1),0)</f>
        <v>0</v>
      </c>
      <c r="O137" s="5">
        <f t="shared" ref="O137:P137" si="77">O136+M137</f>
        <v>16743466.79</v>
      </c>
      <c r="P137" s="5">
        <f t="shared" si="77"/>
        <v>9582074.259</v>
      </c>
    </row>
    <row r="138" ht="14.25" customHeight="1">
      <c r="B138" s="19">
        <f>Supuestos!$B$25+19-1</f>
        <v>2044</v>
      </c>
      <c r="C138" s="5">
        <f>$D$39*(1+Supuestos!$B$9)^(19-1)</f>
        <v>36467111.38</v>
      </c>
      <c r="D138" s="5">
        <f>IF(B138&lt;=Supuestos!$B$26,$D$38*(1+Supuestos!$B$9)^(19-1),0)</f>
        <v>0</v>
      </c>
      <c r="E138" s="5">
        <f t="shared" si="57"/>
        <v>36467111.38</v>
      </c>
      <c r="F138" s="5">
        <f>$D$43*(1+Supuestos!$B$9)^(19-1)*(1-Supuestos!$B$11)^(19-1)</f>
        <v>6084848.731</v>
      </c>
      <c r="G138" s="5">
        <f>$D$44*(1+Supuestos!$B$9)^(19-1)*(1-Supuestos!$B$12)^(19-1)</f>
        <v>5265926.824</v>
      </c>
      <c r="H138" s="5">
        <f>IF(19&lt;=Supuestos!$B$18,$D$42*$D$31*(1+Supuestos!$B$10)^(19-1)*(1-Supuestos!$B$11)^(19-1),0)</f>
        <v>0</v>
      </c>
      <c r="I138" s="5">
        <f>IF(19&lt;=Supuestos!$B$19,G138*$D$32,0)</f>
        <v>0</v>
      </c>
      <c r="J138" s="10">
        <f t="shared" si="58"/>
        <v>11350775.56</v>
      </c>
      <c r="K138" s="5">
        <f t="shared" si="59"/>
        <v>95099802.68</v>
      </c>
      <c r="L138" s="8">
        <f t="shared" si="60"/>
        <v>0.3112606161</v>
      </c>
      <c r="M138" s="5">
        <f>IF(19&lt;=Supuestos!$B$18,H138-Supuestos!$B$22*$D$26*(1+Supuestos!$B$9)^(19-1),0)</f>
        <v>0</v>
      </c>
      <c r="N138" s="5">
        <f>IF(19&lt;=Supuestos!$B$19,I138-Supuestos!$B$23*$D$29*(1+Supuestos!$B$9)^(19-1),0)</f>
        <v>0</v>
      </c>
      <c r="O138" s="5">
        <f t="shared" ref="O138:P138" si="78">O137+M138</f>
        <v>16743466.79</v>
      </c>
      <c r="P138" s="5">
        <f t="shared" si="78"/>
        <v>9582074.259</v>
      </c>
    </row>
    <row r="139" ht="14.25" customHeight="1">
      <c r="B139" s="19">
        <f>Supuestos!$B$25+20-1</f>
        <v>2045</v>
      </c>
      <c r="C139" s="5">
        <f>$D$39*(1+Supuestos!$B$9)^(20-1)</f>
        <v>38290466.94</v>
      </c>
      <c r="D139" s="5">
        <f>IF(B139&lt;=Supuestos!$B$26,$D$38*(1+Supuestos!$B$9)^(20-1),0)</f>
        <v>0</v>
      </c>
      <c r="E139" s="5">
        <f t="shared" si="57"/>
        <v>38290466.94</v>
      </c>
      <c r="F139" s="5">
        <f>$D$43*(1+Supuestos!$B$9)^(20-1)*(1-Supuestos!$B$11)^(20-1)</f>
        <v>6357145.712</v>
      </c>
      <c r="G139" s="5">
        <f>$D$44*(1+Supuestos!$B$9)^(20-1)*(1-Supuestos!$B$12)^(20-1)</f>
        <v>5460107.876</v>
      </c>
      <c r="H139" s="5">
        <f>IF(20&lt;=Supuestos!$B$18,$D$42*$D$31*(1+Supuestos!$B$10)^(20-1)*(1-Supuestos!$B$11)^(20-1),0)</f>
        <v>0</v>
      </c>
      <c r="I139" s="5">
        <f>IF(20&lt;=Supuestos!$B$19,G139*$D$32,0)</f>
        <v>0</v>
      </c>
      <c r="J139" s="10">
        <f t="shared" si="58"/>
        <v>11817253.59</v>
      </c>
      <c r="K139" s="5">
        <f t="shared" si="59"/>
        <v>106917056.3</v>
      </c>
      <c r="L139" s="8">
        <f t="shared" si="60"/>
        <v>0.3086212974</v>
      </c>
      <c r="M139" s="5">
        <f>IF(20&lt;=Supuestos!$B$18,H139-Supuestos!$B$22*$D$26*(1+Supuestos!$B$9)^(20-1),0)</f>
        <v>0</v>
      </c>
      <c r="N139" s="5">
        <f>IF(20&lt;=Supuestos!$B$19,I139-Supuestos!$B$23*$D$29*(1+Supuestos!$B$9)^(20-1),0)</f>
        <v>0</v>
      </c>
      <c r="O139" s="5">
        <f t="shared" ref="O139:P139" si="79">O138+M139</f>
        <v>16743466.79</v>
      </c>
      <c r="P139" s="5">
        <f t="shared" si="79"/>
        <v>9582074.259</v>
      </c>
    </row>
    <row r="140" ht="14.25" customHeight="1"/>
    <row r="141" ht="14.25" customHeight="1"/>
    <row r="142" ht="14.25" customHeight="1"/>
    <row r="143" ht="14.25" customHeight="1">
      <c r="A143" s="1" t="s">
        <v>201</v>
      </c>
    </row>
    <row r="144" ht="14.25" customHeight="1"/>
    <row r="145" ht="14.25" customHeight="1">
      <c r="B145" s="18" t="s">
        <v>202</v>
      </c>
      <c r="C145" s="18" t="s">
        <v>203</v>
      </c>
      <c r="D145" s="18" t="s">
        <v>204</v>
      </c>
      <c r="E145" s="18" t="s">
        <v>205</v>
      </c>
      <c r="F145" s="18" t="s">
        <v>206</v>
      </c>
      <c r="G145" s="18" t="s">
        <v>207</v>
      </c>
    </row>
    <row r="146" ht="14.25" customHeight="1">
      <c r="A146" s="4" t="s">
        <v>208</v>
      </c>
      <c r="B146" s="4">
        <v>0.0</v>
      </c>
      <c r="C146" s="5">
        <f>$N$19-C43</f>
        <v>11619527.29</v>
      </c>
      <c r="D146" s="5">
        <f t="shared" ref="D146:E146" si="80">C146-C147</f>
        <v>8086216.589</v>
      </c>
      <c r="E146" s="5">
        <f t="shared" si="80"/>
        <v>5342118.956</v>
      </c>
      <c r="F146" s="5">
        <f>E146</f>
        <v>5342118.956</v>
      </c>
      <c r="G146" s="5">
        <v>0.0</v>
      </c>
    </row>
    <row r="147" ht="14.25" customHeight="1">
      <c r="A147" s="4" t="s">
        <v>209</v>
      </c>
      <c r="B147" s="5">
        <f>$N$19</f>
        <v>15152838</v>
      </c>
      <c r="C147" s="5">
        <f>C43</f>
        <v>3533310.706</v>
      </c>
      <c r="D147" s="5">
        <f>C44</f>
        <v>2744097.633</v>
      </c>
      <c r="E147" s="5">
        <f>C46</f>
        <v>2017227.245</v>
      </c>
      <c r="F147" s="5">
        <f>C47</f>
        <v>1372048.816</v>
      </c>
      <c r="G147" s="5">
        <f>B147+C147+D147-E147-F147</f>
        <v>18040970.28</v>
      </c>
    </row>
    <row r="148" ht="14.25" customHeight="1"/>
    <row r="149" ht="14.25" customHeight="1"/>
    <row r="150" ht="14.25" customHeight="1">
      <c r="A150" s="1" t="s">
        <v>235</v>
      </c>
    </row>
    <row r="151" ht="14.25" customHeight="1">
      <c r="A151" s="2" t="s">
        <v>211</v>
      </c>
      <c r="B151" s="2" t="s">
        <v>212</v>
      </c>
      <c r="C151" s="2" t="s">
        <v>213</v>
      </c>
      <c r="D151" s="2" t="s">
        <v>214</v>
      </c>
      <c r="E151" s="2" t="s">
        <v>215</v>
      </c>
      <c r="F151" s="2" t="s">
        <v>216</v>
      </c>
      <c r="G151" s="2" t="s">
        <v>217</v>
      </c>
      <c r="H151" s="2" t="s">
        <v>218</v>
      </c>
    </row>
    <row r="152" ht="14.25" customHeight="1">
      <c r="A152" s="19">
        <v>0.0</v>
      </c>
      <c r="B152" s="4" t="s">
        <v>219</v>
      </c>
      <c r="C152" s="5">
        <v>425.1</v>
      </c>
      <c r="D152" s="5">
        <v>0.0</v>
      </c>
      <c r="E152" s="5">
        <f t="shared" ref="E152:E175" si="81">C152-D152</f>
        <v>425.1</v>
      </c>
      <c r="F152" s="5">
        <v>-320.4</v>
      </c>
      <c r="G152" s="5">
        <v>0.0</v>
      </c>
      <c r="H152" s="5">
        <f t="shared" ref="H152:H175" si="82">E152-F152-G152</f>
        <v>745.5</v>
      </c>
    </row>
    <row r="153" ht="14.25" customHeight="1">
      <c r="A153" s="19">
        <v>1.0</v>
      </c>
      <c r="B153" s="4" t="s">
        <v>219</v>
      </c>
      <c r="C153" s="5">
        <v>425.1</v>
      </c>
      <c r="D153" s="5">
        <v>0.0</v>
      </c>
      <c r="E153" s="5">
        <f t="shared" si="81"/>
        <v>425.1</v>
      </c>
      <c r="F153" s="5">
        <v>-320.4</v>
      </c>
      <c r="G153" s="5">
        <v>0.0</v>
      </c>
      <c r="H153" s="5">
        <f t="shared" si="82"/>
        <v>745.5</v>
      </c>
    </row>
    <row r="154" ht="14.25" customHeight="1">
      <c r="A154" s="19">
        <v>2.0</v>
      </c>
      <c r="B154" s="4" t="s">
        <v>219</v>
      </c>
      <c r="C154" s="5">
        <v>425.1</v>
      </c>
      <c r="D154" s="5">
        <v>0.0</v>
      </c>
      <c r="E154" s="5">
        <f t="shared" si="81"/>
        <v>425.1</v>
      </c>
      <c r="F154" s="5">
        <v>-320.4</v>
      </c>
      <c r="G154" s="5">
        <v>0.0</v>
      </c>
      <c r="H154" s="5">
        <f t="shared" si="82"/>
        <v>745.5</v>
      </c>
    </row>
    <row r="155" ht="14.25" customHeight="1">
      <c r="A155" s="19">
        <v>3.0</v>
      </c>
      <c r="B155" s="4" t="s">
        <v>219</v>
      </c>
      <c r="C155" s="5">
        <v>430.1</v>
      </c>
      <c r="D155" s="5">
        <v>0.0</v>
      </c>
      <c r="E155" s="5">
        <f t="shared" si="81"/>
        <v>430.1</v>
      </c>
      <c r="F155" s="5">
        <v>-320.4</v>
      </c>
      <c r="G155" s="5">
        <v>0.0</v>
      </c>
      <c r="H155" s="5">
        <f t="shared" si="82"/>
        <v>750.5</v>
      </c>
    </row>
    <row r="156" ht="14.25" customHeight="1">
      <c r="A156" s="19">
        <v>4.0</v>
      </c>
      <c r="B156" s="4" t="s">
        <v>219</v>
      </c>
      <c r="C156" s="5">
        <v>440.1</v>
      </c>
      <c r="D156" s="5">
        <v>0.0</v>
      </c>
      <c r="E156" s="5">
        <f t="shared" si="81"/>
        <v>440.1</v>
      </c>
      <c r="F156" s="5">
        <v>-320.4</v>
      </c>
      <c r="G156" s="5">
        <v>0.0</v>
      </c>
      <c r="H156" s="5">
        <f t="shared" si="82"/>
        <v>760.5</v>
      </c>
    </row>
    <row r="157" ht="14.25" customHeight="1">
      <c r="A157" s="19">
        <v>5.0</v>
      </c>
      <c r="B157" s="4" t="s">
        <v>219</v>
      </c>
      <c r="C157" s="5">
        <v>460.1</v>
      </c>
      <c r="D157" s="5">
        <v>0.0</v>
      </c>
      <c r="E157" s="5">
        <f t="shared" si="81"/>
        <v>460.1</v>
      </c>
      <c r="F157" s="5">
        <v>-320.4</v>
      </c>
      <c r="G157" s="5">
        <v>0.0</v>
      </c>
      <c r="H157" s="5">
        <f t="shared" si="82"/>
        <v>780.5</v>
      </c>
    </row>
    <row r="158" ht="14.25" customHeight="1">
      <c r="A158" s="19">
        <v>6.0</v>
      </c>
      <c r="B158" s="4" t="s">
        <v>220</v>
      </c>
      <c r="C158" s="5">
        <v>490.1</v>
      </c>
      <c r="D158" s="5">
        <v>0.0</v>
      </c>
      <c r="E158" s="5">
        <f t="shared" si="81"/>
        <v>490.1</v>
      </c>
      <c r="F158" s="5">
        <v>0.0</v>
      </c>
      <c r="G158" s="5">
        <v>0.0</v>
      </c>
      <c r="H158" s="5">
        <f t="shared" si="82"/>
        <v>490.1</v>
      </c>
    </row>
    <row r="159" ht="14.25" customHeight="1">
      <c r="A159" s="19">
        <v>7.0</v>
      </c>
      <c r="B159" s="4" t="s">
        <v>220</v>
      </c>
      <c r="C159" s="5">
        <v>525.1</v>
      </c>
      <c r="D159" s="5">
        <v>107.8</v>
      </c>
      <c r="E159" s="5">
        <f t="shared" si="81"/>
        <v>417.3</v>
      </c>
      <c r="F159" s="5">
        <v>0.0</v>
      </c>
      <c r="G159" s="5">
        <v>0.0</v>
      </c>
      <c r="H159" s="5">
        <f t="shared" si="82"/>
        <v>417.3</v>
      </c>
    </row>
    <row r="160" ht="14.25" customHeight="1">
      <c r="A160" s="19">
        <v>8.0</v>
      </c>
      <c r="B160" s="4" t="s">
        <v>220</v>
      </c>
      <c r="C160" s="5">
        <v>560.1</v>
      </c>
      <c r="D160" s="5">
        <v>208.8</v>
      </c>
      <c r="E160" s="5">
        <f t="shared" si="81"/>
        <v>351.3</v>
      </c>
      <c r="F160" s="5">
        <v>0.0</v>
      </c>
      <c r="G160" s="5">
        <v>0.0</v>
      </c>
      <c r="H160" s="5">
        <f t="shared" si="82"/>
        <v>351.3</v>
      </c>
    </row>
    <row r="161" ht="14.25" customHeight="1">
      <c r="A161" s="19">
        <v>9.0</v>
      </c>
      <c r="B161" s="4" t="s">
        <v>220</v>
      </c>
      <c r="C161" s="5">
        <v>575.1</v>
      </c>
      <c r="D161" s="5">
        <v>296.7</v>
      </c>
      <c r="E161" s="5">
        <f t="shared" si="81"/>
        <v>278.4</v>
      </c>
      <c r="F161" s="5">
        <v>0.0</v>
      </c>
      <c r="G161" s="5">
        <v>0.0</v>
      </c>
      <c r="H161" s="5">
        <f t="shared" si="82"/>
        <v>278.4</v>
      </c>
    </row>
    <row r="162" ht="14.25" customHeight="1">
      <c r="A162" s="19">
        <v>10.0</v>
      </c>
      <c r="B162" s="4" t="s">
        <v>220</v>
      </c>
      <c r="C162" s="5">
        <v>580.1</v>
      </c>
      <c r="D162" s="5">
        <v>366.0</v>
      </c>
      <c r="E162" s="5">
        <f t="shared" si="81"/>
        <v>214.1</v>
      </c>
      <c r="F162" s="5">
        <v>0.0</v>
      </c>
      <c r="G162" s="5">
        <v>0.0</v>
      </c>
      <c r="H162" s="5">
        <f t="shared" si="82"/>
        <v>214.1</v>
      </c>
    </row>
    <row r="163" ht="14.25" customHeight="1">
      <c r="A163" s="19">
        <v>11.0</v>
      </c>
      <c r="B163" s="4" t="s">
        <v>220</v>
      </c>
      <c r="C163" s="5">
        <v>580.1</v>
      </c>
      <c r="D163" s="5">
        <v>412.2</v>
      </c>
      <c r="E163" s="5">
        <f t="shared" si="81"/>
        <v>167.9</v>
      </c>
      <c r="F163" s="5">
        <v>0.0</v>
      </c>
      <c r="G163" s="5">
        <v>0.0</v>
      </c>
      <c r="H163" s="5">
        <f t="shared" si="82"/>
        <v>167.9</v>
      </c>
    </row>
    <row r="164" ht="14.25" customHeight="1">
      <c r="A164" s="19">
        <v>12.0</v>
      </c>
      <c r="B164" s="4" t="s">
        <v>220</v>
      </c>
      <c r="C164" s="5">
        <v>580.1</v>
      </c>
      <c r="D164" s="5">
        <v>432.6</v>
      </c>
      <c r="E164" s="5">
        <f t="shared" si="81"/>
        <v>147.5</v>
      </c>
      <c r="F164" s="5">
        <v>0.0</v>
      </c>
      <c r="G164" s="5">
        <v>0.0</v>
      </c>
      <c r="H164" s="5">
        <f t="shared" si="82"/>
        <v>147.5</v>
      </c>
    </row>
    <row r="165" ht="14.25" customHeight="1">
      <c r="A165" s="19">
        <v>13.0</v>
      </c>
      <c r="B165" s="4" t="s">
        <v>220</v>
      </c>
      <c r="C165" s="5">
        <v>575.1</v>
      </c>
      <c r="D165" s="5">
        <v>425.8</v>
      </c>
      <c r="E165" s="5">
        <f t="shared" si="81"/>
        <v>149.3</v>
      </c>
      <c r="F165" s="5">
        <v>0.0</v>
      </c>
      <c r="G165" s="5">
        <v>0.0</v>
      </c>
      <c r="H165" s="5">
        <f t="shared" si="82"/>
        <v>149.3</v>
      </c>
    </row>
    <row r="166" ht="14.25" customHeight="1">
      <c r="A166" s="19">
        <v>14.0</v>
      </c>
      <c r="B166" s="4" t="s">
        <v>220</v>
      </c>
      <c r="C166" s="5">
        <v>570.1</v>
      </c>
      <c r="D166" s="5">
        <v>392.2</v>
      </c>
      <c r="E166" s="5">
        <f t="shared" si="81"/>
        <v>177.9</v>
      </c>
      <c r="F166" s="5">
        <v>0.0</v>
      </c>
      <c r="G166" s="5">
        <v>0.0</v>
      </c>
      <c r="H166" s="5">
        <f t="shared" si="82"/>
        <v>177.9</v>
      </c>
    </row>
    <row r="167" ht="14.25" customHeight="1">
      <c r="A167" s="19">
        <v>15.0</v>
      </c>
      <c r="B167" s="4" t="s">
        <v>220</v>
      </c>
      <c r="C167" s="5">
        <v>565.1</v>
      </c>
      <c r="D167" s="5">
        <v>334.0</v>
      </c>
      <c r="E167" s="5">
        <f t="shared" si="81"/>
        <v>231.1</v>
      </c>
      <c r="F167" s="5">
        <v>0.0</v>
      </c>
      <c r="G167" s="5">
        <v>0.0</v>
      </c>
      <c r="H167" s="5">
        <f t="shared" si="82"/>
        <v>231.1</v>
      </c>
    </row>
    <row r="168" ht="14.25" customHeight="1">
      <c r="A168" s="19">
        <v>16.0</v>
      </c>
      <c r="B168" s="4" t="s">
        <v>220</v>
      </c>
      <c r="C168" s="5">
        <v>560.1</v>
      </c>
      <c r="D168" s="5">
        <v>254.8</v>
      </c>
      <c r="E168" s="5">
        <f t="shared" si="81"/>
        <v>305.3</v>
      </c>
      <c r="F168" s="5">
        <v>0.0</v>
      </c>
      <c r="G168" s="5">
        <v>0.0</v>
      </c>
      <c r="H168" s="5">
        <f t="shared" si="82"/>
        <v>305.3</v>
      </c>
    </row>
    <row r="169" ht="14.25" customHeight="1">
      <c r="A169" s="19">
        <v>17.0</v>
      </c>
      <c r="B169" s="4" t="s">
        <v>220</v>
      </c>
      <c r="C169" s="5">
        <v>550.1</v>
      </c>
      <c r="D169" s="5">
        <v>159.6</v>
      </c>
      <c r="E169" s="5">
        <f t="shared" si="81"/>
        <v>390.5</v>
      </c>
      <c r="F169" s="5">
        <v>0.0</v>
      </c>
      <c r="G169" s="5">
        <v>0.0</v>
      </c>
      <c r="H169" s="5">
        <f t="shared" si="82"/>
        <v>390.5</v>
      </c>
    </row>
    <row r="170" ht="14.25" customHeight="1">
      <c r="A170" s="19">
        <v>18.0</v>
      </c>
      <c r="B170" s="4" t="s">
        <v>221</v>
      </c>
      <c r="C170" s="5">
        <v>560.1</v>
      </c>
      <c r="D170" s="5">
        <v>54.3</v>
      </c>
      <c r="E170" s="5">
        <f t="shared" si="81"/>
        <v>505.8</v>
      </c>
      <c r="F170" s="5">
        <v>0.0</v>
      </c>
      <c r="G170" s="5">
        <f t="shared" ref="G170:G173" si="83">MIN($C$28,MAX(0,E170-$E$180))</f>
        <v>426.891292</v>
      </c>
      <c r="H170" s="5">
        <f t="shared" si="82"/>
        <v>78.90870797</v>
      </c>
    </row>
    <row r="171" ht="14.25" customHeight="1">
      <c r="A171" s="19">
        <v>19.0</v>
      </c>
      <c r="B171" s="4" t="s">
        <v>221</v>
      </c>
      <c r="C171" s="5">
        <v>570.1</v>
      </c>
      <c r="D171" s="5">
        <v>0.0</v>
      </c>
      <c r="E171" s="5">
        <f t="shared" si="81"/>
        <v>570.1</v>
      </c>
      <c r="F171" s="5">
        <v>0.0</v>
      </c>
      <c r="G171" s="5">
        <f t="shared" si="83"/>
        <v>491.191292</v>
      </c>
      <c r="H171" s="5">
        <f t="shared" si="82"/>
        <v>78.90870797</v>
      </c>
    </row>
    <row r="172" ht="14.25" customHeight="1">
      <c r="A172" s="19">
        <v>20.0</v>
      </c>
      <c r="B172" s="4" t="s">
        <v>221</v>
      </c>
      <c r="C172" s="5">
        <v>560.1</v>
      </c>
      <c r="D172" s="5">
        <v>0.0</v>
      </c>
      <c r="E172" s="5">
        <f t="shared" si="81"/>
        <v>560.1</v>
      </c>
      <c r="F172" s="5">
        <v>0.0</v>
      </c>
      <c r="G172" s="5">
        <f t="shared" si="83"/>
        <v>481.191292</v>
      </c>
      <c r="H172" s="5">
        <f t="shared" si="82"/>
        <v>78.90870797</v>
      </c>
    </row>
    <row r="173" ht="14.25" customHeight="1">
      <c r="A173" s="19">
        <v>21.0</v>
      </c>
      <c r="B173" s="4" t="s">
        <v>221</v>
      </c>
      <c r="C173" s="5">
        <v>525.1</v>
      </c>
      <c r="D173" s="5">
        <v>0.0</v>
      </c>
      <c r="E173" s="5">
        <f t="shared" si="81"/>
        <v>525.1</v>
      </c>
      <c r="F173" s="5">
        <v>0.0</v>
      </c>
      <c r="G173" s="5">
        <f t="shared" si="83"/>
        <v>446.191292</v>
      </c>
      <c r="H173" s="5">
        <f t="shared" si="82"/>
        <v>78.90870797</v>
      </c>
    </row>
    <row r="174" ht="14.25" customHeight="1">
      <c r="A174" s="19">
        <v>22.0</v>
      </c>
      <c r="B174" s="4" t="s">
        <v>220</v>
      </c>
      <c r="C174" s="5">
        <v>475.1</v>
      </c>
      <c r="D174" s="5">
        <v>0.0</v>
      </c>
      <c r="E174" s="5">
        <f t="shared" si="81"/>
        <v>475.1</v>
      </c>
      <c r="F174" s="5">
        <v>0.0</v>
      </c>
      <c r="G174" s="5">
        <v>0.0</v>
      </c>
      <c r="H174" s="5">
        <f t="shared" si="82"/>
        <v>475.1</v>
      </c>
    </row>
    <row r="175" ht="14.25" customHeight="1">
      <c r="A175" s="19">
        <v>23.0</v>
      </c>
      <c r="B175" s="4" t="s">
        <v>220</v>
      </c>
      <c r="C175" s="5">
        <v>440.1</v>
      </c>
      <c r="D175" s="5">
        <v>0.0</v>
      </c>
      <c r="E175" s="5">
        <f t="shared" si="81"/>
        <v>440.1</v>
      </c>
      <c r="F175" s="5">
        <v>0.0</v>
      </c>
      <c r="G175" s="5">
        <v>0.0</v>
      </c>
      <c r="H175" s="5">
        <f t="shared" si="82"/>
        <v>440.1</v>
      </c>
    </row>
    <row r="176" ht="14.25" customHeight="1"/>
    <row r="177" ht="14.25" customHeight="1">
      <c r="A177" s="3" t="s">
        <v>222</v>
      </c>
    </row>
    <row r="178" ht="14.25" customHeight="1">
      <c r="A178" s="4" t="s">
        <v>223</v>
      </c>
      <c r="E178" s="23">
        <f>MAX(E170:E173)</f>
        <v>570.1</v>
      </c>
    </row>
    <row r="179" ht="14.25" customHeight="1">
      <c r="A179" s="4" t="s">
        <v>224</v>
      </c>
      <c r="E179" s="23">
        <f>$C$30</f>
        <v>1845.465168</v>
      </c>
    </row>
    <row r="180" ht="14.25" customHeight="1">
      <c r="A180" s="4" t="s">
        <v>225</v>
      </c>
      <c r="E180" s="23">
        <f>MAX(0,(SUM(E170:E173)-MIN($C$30,SUM(E170:E173)))/4)</f>
        <v>78.90870797</v>
      </c>
    </row>
    <row r="181" ht="14.25" customHeight="1">
      <c r="A181" s="4" t="s">
        <v>226</v>
      </c>
      <c r="E181" s="23">
        <f>MAX(H170:H173)</f>
        <v>78.90870797</v>
      </c>
    </row>
    <row r="182" ht="14.25" customHeight="1">
      <c r="A182" s="3" t="s">
        <v>227</v>
      </c>
      <c r="E182" s="24">
        <f>E178-E181</f>
        <v>491.191292</v>
      </c>
    </row>
    <row r="183" ht="14.25" customHeight="1">
      <c r="A183" s="4" t="s">
        <v>228</v>
      </c>
      <c r="E183" s="5">
        <f>E182*AVERAGE(B17:M17)</f>
        <v>204549.655</v>
      </c>
    </row>
    <row r="184" ht="14.25" customHeight="1">
      <c r="A184" s="29" t="s">
        <v>229</v>
      </c>
    </row>
    <row r="185" ht="14.25" customHeight="1"/>
    <row r="186" ht="14.25" customHeight="1">
      <c r="A186" s="3" t="s">
        <v>236</v>
      </c>
    </row>
    <row r="187" ht="14.25" customHeight="1">
      <c r="A187" s="3" t="s">
        <v>211</v>
      </c>
      <c r="B187" s="3" t="s">
        <v>212</v>
      </c>
      <c r="C187" s="3" t="s">
        <v>213</v>
      </c>
      <c r="D187" s="3" t="s">
        <v>214</v>
      </c>
      <c r="E187" s="3" t="s">
        <v>215</v>
      </c>
      <c r="F187" s="3" t="s">
        <v>216</v>
      </c>
      <c r="G187" s="3" t="s">
        <v>217</v>
      </c>
      <c r="H187" s="3" t="s">
        <v>218</v>
      </c>
    </row>
    <row r="188" ht="14.25" customHeight="1">
      <c r="A188" s="4">
        <v>0.0</v>
      </c>
      <c r="B188" s="4" t="s">
        <v>219</v>
      </c>
      <c r="C188" s="4">
        <v>425.1</v>
      </c>
      <c r="D188" s="4">
        <v>0.0</v>
      </c>
      <c r="E188" s="4">
        <f t="shared" ref="E188:E211" si="84">C188-D188</f>
        <v>425.1</v>
      </c>
      <c r="F188" s="4">
        <v>-320.4</v>
      </c>
      <c r="G188" s="4">
        <v>0.0</v>
      </c>
      <c r="H188" s="4">
        <f t="shared" ref="H188:H211" si="85">E188-F188-G188</f>
        <v>745.5</v>
      </c>
    </row>
    <row r="189" ht="14.25" customHeight="1">
      <c r="A189" s="4">
        <v>1.0</v>
      </c>
      <c r="B189" s="4" t="s">
        <v>219</v>
      </c>
      <c r="C189" s="4">
        <v>425.1</v>
      </c>
      <c r="D189" s="4">
        <v>0.0</v>
      </c>
      <c r="E189" s="4">
        <f t="shared" si="84"/>
        <v>425.1</v>
      </c>
      <c r="F189" s="4">
        <v>-320.4</v>
      </c>
      <c r="G189" s="4">
        <v>0.0</v>
      </c>
      <c r="H189" s="4">
        <f t="shared" si="85"/>
        <v>745.5</v>
      </c>
    </row>
    <row r="190" ht="14.25" customHeight="1">
      <c r="A190" s="4">
        <v>2.0</v>
      </c>
      <c r="B190" s="4" t="s">
        <v>219</v>
      </c>
      <c r="C190" s="4">
        <v>425.1</v>
      </c>
      <c r="D190" s="4">
        <v>0.0</v>
      </c>
      <c r="E190" s="4">
        <f t="shared" si="84"/>
        <v>425.1</v>
      </c>
      <c r="F190" s="4">
        <v>-320.4</v>
      </c>
      <c r="G190" s="4">
        <v>0.0</v>
      </c>
      <c r="H190" s="4">
        <f t="shared" si="85"/>
        <v>745.5</v>
      </c>
    </row>
    <row r="191" ht="14.25" customHeight="1">
      <c r="A191" s="4">
        <v>3.0</v>
      </c>
      <c r="B191" s="4" t="s">
        <v>219</v>
      </c>
      <c r="C191" s="4">
        <v>430.1</v>
      </c>
      <c r="D191" s="4">
        <v>0.0</v>
      </c>
      <c r="E191" s="4">
        <f t="shared" si="84"/>
        <v>430.1</v>
      </c>
      <c r="F191" s="4">
        <v>-320.4</v>
      </c>
      <c r="G191" s="4">
        <v>0.0</v>
      </c>
      <c r="H191" s="4">
        <f t="shared" si="85"/>
        <v>750.5</v>
      </c>
    </row>
    <row r="192" ht="14.25" customHeight="1">
      <c r="A192" s="4">
        <v>4.0</v>
      </c>
      <c r="B192" s="4" t="s">
        <v>219</v>
      </c>
      <c r="C192" s="4">
        <v>440.1</v>
      </c>
      <c r="D192" s="4">
        <v>0.0</v>
      </c>
      <c r="E192" s="4">
        <f t="shared" si="84"/>
        <v>440.1</v>
      </c>
      <c r="F192" s="4">
        <v>-320.4</v>
      </c>
      <c r="G192" s="4">
        <v>0.0</v>
      </c>
      <c r="H192" s="4">
        <f t="shared" si="85"/>
        <v>760.5</v>
      </c>
    </row>
    <row r="193" ht="14.25" customHeight="1">
      <c r="A193" s="4">
        <v>5.0</v>
      </c>
      <c r="B193" s="4" t="s">
        <v>219</v>
      </c>
      <c r="C193" s="4">
        <v>460.1</v>
      </c>
      <c r="D193" s="4">
        <v>0.0</v>
      </c>
      <c r="E193" s="4">
        <f t="shared" si="84"/>
        <v>460.1</v>
      </c>
      <c r="F193" s="4">
        <v>-320.4</v>
      </c>
      <c r="G193" s="4">
        <v>0.0</v>
      </c>
      <c r="H193" s="4">
        <f t="shared" si="85"/>
        <v>780.5</v>
      </c>
    </row>
    <row r="194" ht="14.25" customHeight="1">
      <c r="A194" s="4">
        <v>6.0</v>
      </c>
      <c r="B194" s="4" t="s">
        <v>220</v>
      </c>
      <c r="C194" s="4">
        <v>490.1</v>
      </c>
      <c r="D194" s="4">
        <v>0.0</v>
      </c>
      <c r="E194" s="4">
        <f t="shared" si="84"/>
        <v>490.1</v>
      </c>
      <c r="F194" s="4">
        <v>0.0</v>
      </c>
      <c r="G194" s="4">
        <v>0.0</v>
      </c>
      <c r="H194" s="4">
        <f t="shared" si="85"/>
        <v>490.1</v>
      </c>
    </row>
    <row r="195" ht="14.25" customHeight="1">
      <c r="A195" s="4">
        <v>7.0</v>
      </c>
      <c r="B195" s="4" t="s">
        <v>220</v>
      </c>
      <c r="C195" s="4">
        <v>525.1</v>
      </c>
      <c r="D195" s="4">
        <v>107.8</v>
      </c>
      <c r="E195" s="4">
        <f t="shared" si="84"/>
        <v>417.3</v>
      </c>
      <c r="F195" s="4">
        <v>0.0</v>
      </c>
      <c r="G195" s="4">
        <v>0.0</v>
      </c>
      <c r="H195" s="4">
        <f t="shared" si="85"/>
        <v>417.3</v>
      </c>
    </row>
    <row r="196" ht="14.25" customHeight="1">
      <c r="A196" s="4">
        <v>8.0</v>
      </c>
      <c r="B196" s="4" t="s">
        <v>220</v>
      </c>
      <c r="C196" s="4">
        <v>560.1</v>
      </c>
      <c r="D196" s="4">
        <v>208.8</v>
      </c>
      <c r="E196" s="4">
        <f t="shared" si="84"/>
        <v>351.3</v>
      </c>
      <c r="F196" s="4">
        <v>0.0</v>
      </c>
      <c r="G196" s="4">
        <v>0.0</v>
      </c>
      <c r="H196" s="4">
        <f t="shared" si="85"/>
        <v>351.3</v>
      </c>
    </row>
    <row r="197" ht="14.25" customHeight="1">
      <c r="A197" s="4">
        <v>9.0</v>
      </c>
      <c r="B197" s="4" t="s">
        <v>220</v>
      </c>
      <c r="C197" s="4">
        <v>575.1</v>
      </c>
      <c r="D197" s="4">
        <v>296.7</v>
      </c>
      <c r="E197" s="4">
        <f t="shared" si="84"/>
        <v>278.4</v>
      </c>
      <c r="F197" s="4">
        <v>0.0</v>
      </c>
      <c r="G197" s="4">
        <v>0.0</v>
      </c>
      <c r="H197" s="4">
        <f t="shared" si="85"/>
        <v>278.4</v>
      </c>
    </row>
    <row r="198" ht="14.25" customHeight="1">
      <c r="A198" s="4">
        <v>10.0</v>
      </c>
      <c r="B198" s="4" t="s">
        <v>220</v>
      </c>
      <c r="C198" s="4">
        <v>580.1</v>
      </c>
      <c r="D198" s="4">
        <v>366.0</v>
      </c>
      <c r="E198" s="4">
        <f t="shared" si="84"/>
        <v>214.1</v>
      </c>
      <c r="F198" s="4">
        <v>0.0</v>
      </c>
      <c r="G198" s="4">
        <v>0.0</v>
      </c>
      <c r="H198" s="4">
        <f t="shared" si="85"/>
        <v>214.1</v>
      </c>
    </row>
    <row r="199" ht="14.25" customHeight="1">
      <c r="A199" s="4">
        <v>11.0</v>
      </c>
      <c r="B199" s="4" t="s">
        <v>220</v>
      </c>
      <c r="C199" s="4">
        <v>580.1</v>
      </c>
      <c r="D199" s="4">
        <v>412.2</v>
      </c>
      <c r="E199" s="4">
        <f t="shared" si="84"/>
        <v>167.9</v>
      </c>
      <c r="F199" s="4">
        <v>0.0</v>
      </c>
      <c r="G199" s="4">
        <v>0.0</v>
      </c>
      <c r="H199" s="4">
        <f t="shared" si="85"/>
        <v>167.9</v>
      </c>
    </row>
    <row r="200" ht="14.25" customHeight="1">
      <c r="A200" s="4">
        <v>12.0</v>
      </c>
      <c r="B200" s="4" t="s">
        <v>220</v>
      </c>
      <c r="C200" s="4">
        <v>580.1</v>
      </c>
      <c r="D200" s="4">
        <v>432.6</v>
      </c>
      <c r="E200" s="4">
        <f t="shared" si="84"/>
        <v>147.5</v>
      </c>
      <c r="F200" s="4">
        <v>0.0</v>
      </c>
      <c r="G200" s="4">
        <v>0.0</v>
      </c>
      <c r="H200" s="4">
        <f t="shared" si="85"/>
        <v>147.5</v>
      </c>
    </row>
    <row r="201" ht="14.25" customHeight="1">
      <c r="A201" s="4">
        <v>13.0</v>
      </c>
      <c r="B201" s="4" t="s">
        <v>220</v>
      </c>
      <c r="C201" s="4">
        <v>575.1</v>
      </c>
      <c r="D201" s="4">
        <v>425.8</v>
      </c>
      <c r="E201" s="4">
        <f t="shared" si="84"/>
        <v>149.3</v>
      </c>
      <c r="F201" s="4">
        <v>0.0</v>
      </c>
      <c r="G201" s="4">
        <v>0.0</v>
      </c>
      <c r="H201" s="4">
        <f t="shared" si="85"/>
        <v>149.3</v>
      </c>
    </row>
    <row r="202" ht="14.25" customHeight="1">
      <c r="A202" s="4">
        <v>14.0</v>
      </c>
      <c r="B202" s="4" t="s">
        <v>220</v>
      </c>
      <c r="C202" s="4">
        <v>570.1</v>
      </c>
      <c r="D202" s="4">
        <v>392.2</v>
      </c>
      <c r="E202" s="4">
        <f t="shared" si="84"/>
        <v>177.9</v>
      </c>
      <c r="F202" s="4">
        <v>0.0</v>
      </c>
      <c r="G202" s="4">
        <v>0.0</v>
      </c>
      <c r="H202" s="4">
        <f t="shared" si="85"/>
        <v>177.9</v>
      </c>
    </row>
    <row r="203" ht="14.25" customHeight="1">
      <c r="A203" s="4">
        <v>15.0</v>
      </c>
      <c r="B203" s="4" t="s">
        <v>220</v>
      </c>
      <c r="C203" s="4">
        <v>565.1</v>
      </c>
      <c r="D203" s="4">
        <v>334.0</v>
      </c>
      <c r="E203" s="4">
        <f t="shared" si="84"/>
        <v>231.1</v>
      </c>
      <c r="F203" s="4">
        <v>0.0</v>
      </c>
      <c r="G203" s="4">
        <v>0.0</v>
      </c>
      <c r="H203" s="4">
        <f t="shared" si="85"/>
        <v>231.1</v>
      </c>
    </row>
    <row r="204" ht="14.25" customHeight="1">
      <c r="A204" s="4">
        <v>16.0</v>
      </c>
      <c r="B204" s="4" t="s">
        <v>220</v>
      </c>
      <c r="C204" s="4">
        <v>560.1</v>
      </c>
      <c r="D204" s="4">
        <v>254.8</v>
      </c>
      <c r="E204" s="4">
        <f t="shared" si="84"/>
        <v>305.3</v>
      </c>
      <c r="F204" s="4">
        <v>0.0</v>
      </c>
      <c r="G204" s="4">
        <v>0.0</v>
      </c>
      <c r="H204" s="4">
        <f t="shared" si="85"/>
        <v>305.3</v>
      </c>
    </row>
    <row r="205" ht="14.25" customHeight="1">
      <c r="A205" s="4">
        <v>17.0</v>
      </c>
      <c r="B205" s="4" t="s">
        <v>220</v>
      </c>
      <c r="C205" s="4">
        <v>550.1</v>
      </c>
      <c r="D205" s="4">
        <v>159.6</v>
      </c>
      <c r="E205" s="4">
        <f t="shared" si="84"/>
        <v>390.5</v>
      </c>
      <c r="F205" s="4">
        <v>0.0</v>
      </c>
      <c r="G205" s="4">
        <v>0.0</v>
      </c>
      <c r="H205" s="4">
        <f t="shared" si="85"/>
        <v>390.5</v>
      </c>
    </row>
    <row r="206" ht="14.25" customHeight="1">
      <c r="A206" s="4">
        <v>18.0</v>
      </c>
      <c r="B206" s="4" t="s">
        <v>220</v>
      </c>
      <c r="C206" s="4">
        <v>560.1</v>
      </c>
      <c r="D206" s="4">
        <v>54.3</v>
      </c>
      <c r="E206" s="4">
        <f t="shared" si="84"/>
        <v>505.8</v>
      </c>
      <c r="F206" s="4">
        <v>0.0</v>
      </c>
      <c r="G206" s="4">
        <v>0.0</v>
      </c>
      <c r="H206" s="4">
        <f t="shared" si="85"/>
        <v>505.8</v>
      </c>
    </row>
    <row r="207" ht="14.25" customHeight="1">
      <c r="A207" s="4">
        <v>19.0</v>
      </c>
      <c r="B207" s="4" t="s">
        <v>220</v>
      </c>
      <c r="C207" s="4">
        <v>570.1</v>
      </c>
      <c r="D207" s="4">
        <v>0.0</v>
      </c>
      <c r="E207" s="4">
        <f t="shared" si="84"/>
        <v>570.1</v>
      </c>
      <c r="F207" s="4">
        <v>0.0</v>
      </c>
      <c r="G207" s="4">
        <v>0.0</v>
      </c>
      <c r="H207" s="4">
        <f t="shared" si="85"/>
        <v>570.1</v>
      </c>
    </row>
    <row r="208" ht="14.25" customHeight="1">
      <c r="A208" s="4">
        <v>20.0</v>
      </c>
      <c r="B208" s="4" t="s">
        <v>221</v>
      </c>
      <c r="C208" s="4">
        <v>560.1</v>
      </c>
      <c r="D208" s="4">
        <v>0.0</v>
      </c>
      <c r="E208" s="4">
        <f t="shared" si="84"/>
        <v>560.1</v>
      </c>
      <c r="F208" s="4">
        <v>0.0</v>
      </c>
      <c r="G208" s="5">
        <f t="shared" ref="G208:G209" si="86">MIN($C$28,MAX(0,E208-$E$216))</f>
        <v>560.1</v>
      </c>
      <c r="H208" s="5">
        <f t="shared" si="85"/>
        <v>0</v>
      </c>
    </row>
    <row r="209" ht="14.25" customHeight="1">
      <c r="A209" s="4">
        <v>21.0</v>
      </c>
      <c r="B209" s="4" t="s">
        <v>221</v>
      </c>
      <c r="C209" s="4">
        <v>525.1</v>
      </c>
      <c r="D209" s="4">
        <v>0.0</v>
      </c>
      <c r="E209" s="4">
        <f t="shared" si="84"/>
        <v>525.1</v>
      </c>
      <c r="F209" s="4">
        <v>0.0</v>
      </c>
      <c r="G209" s="5">
        <f t="shared" si="86"/>
        <v>525.1</v>
      </c>
      <c r="H209" s="5">
        <f t="shared" si="85"/>
        <v>0</v>
      </c>
    </row>
    <row r="210" ht="14.25" customHeight="1">
      <c r="A210" s="4">
        <v>22.0</v>
      </c>
      <c r="B210" s="4" t="s">
        <v>220</v>
      </c>
      <c r="C210" s="4">
        <v>475.1</v>
      </c>
      <c r="D210" s="4">
        <v>0.0</v>
      </c>
      <c r="E210" s="4">
        <f t="shared" si="84"/>
        <v>475.1</v>
      </c>
      <c r="F210" s="4">
        <v>0.0</v>
      </c>
      <c r="G210" s="4">
        <v>0.0</v>
      </c>
      <c r="H210" s="4">
        <f t="shared" si="85"/>
        <v>475.1</v>
      </c>
    </row>
    <row r="211" ht="14.25" customHeight="1">
      <c r="A211" s="4">
        <v>23.0</v>
      </c>
      <c r="B211" s="4" t="s">
        <v>220</v>
      </c>
      <c r="C211" s="4">
        <v>440.1</v>
      </c>
      <c r="D211" s="4">
        <v>0.0</v>
      </c>
      <c r="E211" s="4">
        <f t="shared" si="84"/>
        <v>440.1</v>
      </c>
      <c r="F211" s="4">
        <v>0.0</v>
      </c>
      <c r="G211" s="4">
        <v>0.0</v>
      </c>
      <c r="H211" s="4">
        <f t="shared" si="85"/>
        <v>440.1</v>
      </c>
    </row>
    <row r="212" ht="14.25" customHeight="1"/>
    <row r="213" ht="14.25" customHeight="1">
      <c r="A213" s="3" t="s">
        <v>231</v>
      </c>
    </row>
    <row r="214" ht="14.25" customHeight="1">
      <c r="A214" s="4" t="s">
        <v>223</v>
      </c>
      <c r="E214" s="23">
        <f>MAX(E208:E209)</f>
        <v>560.1</v>
      </c>
    </row>
    <row r="215" ht="14.25" customHeight="1">
      <c r="A215" s="4" t="s">
        <v>224</v>
      </c>
      <c r="E215" s="23">
        <f>$C$30</f>
        <v>1845.465168</v>
      </c>
    </row>
    <row r="216" ht="14.25" customHeight="1">
      <c r="A216" s="4" t="s">
        <v>225</v>
      </c>
      <c r="E216" s="23">
        <f>MAX(0,(SUM(E208:E209)-MIN($C$30,SUM(E208:E209)))/2)</f>
        <v>0</v>
      </c>
    </row>
    <row r="217" ht="14.25" customHeight="1">
      <c r="A217" s="4" t="s">
        <v>226</v>
      </c>
      <c r="E217" s="23">
        <f>MAX(H208:H209)</f>
        <v>0</v>
      </c>
    </row>
    <row r="218" ht="14.25" customHeight="1">
      <c r="A218" s="3" t="s">
        <v>227</v>
      </c>
      <c r="E218" s="24">
        <f>E214-E217</f>
        <v>560.1</v>
      </c>
    </row>
    <row r="219" ht="14.25" customHeight="1">
      <c r="A219" s="29" t="s">
        <v>232</v>
      </c>
    </row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0.0"/>
    <col customWidth="1" min="2" max="18" width="14.0"/>
    <col customWidth="1" min="19" max="26" width="8.71"/>
  </cols>
  <sheetData>
    <row r="1" ht="14.25" customHeight="1">
      <c r="A1" s="1" t="s">
        <v>238</v>
      </c>
    </row>
    <row r="2" ht="14.25" customHeight="1"/>
    <row r="3" ht="14.25" customHeight="1">
      <c r="A3" s="1" t="s">
        <v>91</v>
      </c>
    </row>
    <row r="4" ht="14.25" customHeight="1">
      <c r="A4" s="18" t="s">
        <v>92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98</v>
      </c>
      <c r="H4" s="2" t="s">
        <v>99</v>
      </c>
      <c r="I4" s="2" t="s">
        <v>100</v>
      </c>
      <c r="J4" s="2" t="s">
        <v>101</v>
      </c>
      <c r="K4" s="2" t="s">
        <v>102</v>
      </c>
      <c r="L4" s="2" t="s">
        <v>103</v>
      </c>
      <c r="M4" s="2" t="s">
        <v>104</v>
      </c>
      <c r="N4" s="18" t="s">
        <v>105</v>
      </c>
    </row>
    <row r="5" ht="14.25" customHeight="1">
      <c r="A5" s="4" t="s">
        <v>106</v>
      </c>
      <c r="B5" s="5">
        <v>3062070.0</v>
      </c>
      <c r="C5" s="5">
        <v>2851900.0</v>
      </c>
      <c r="D5" s="5">
        <v>2393563.0</v>
      </c>
      <c r="E5" s="5">
        <v>2871886.0</v>
      </c>
      <c r="F5" s="5">
        <v>2475285.0</v>
      </c>
      <c r="G5" s="5">
        <v>2270491.0</v>
      </c>
      <c r="H5" s="5">
        <v>2403501.0</v>
      </c>
      <c r="I5" s="5">
        <v>2273858.0</v>
      </c>
      <c r="J5" s="5">
        <v>2435462.0</v>
      </c>
      <c r="K5" s="5">
        <v>2403239.0</v>
      </c>
      <c r="L5" s="5">
        <v>2852898.0</v>
      </c>
      <c r="M5" s="5">
        <v>2449911.0</v>
      </c>
      <c r="N5" s="10">
        <f t="shared" ref="N5:N8" si="1">SUM(B5:M5)</f>
        <v>30744064</v>
      </c>
    </row>
    <row r="6" ht="14.25" customHeight="1">
      <c r="A6" s="4" t="s">
        <v>107</v>
      </c>
      <c r="B6" s="5">
        <v>5295526.0</v>
      </c>
      <c r="C6" s="5">
        <v>4915625.0</v>
      </c>
      <c r="D6" s="5">
        <v>4440610.0</v>
      </c>
      <c r="E6" s="5">
        <v>4951683.0</v>
      </c>
      <c r="F6" s="5">
        <v>4289473.0</v>
      </c>
      <c r="G6" s="5">
        <v>4217095.0</v>
      </c>
      <c r="H6" s="5">
        <v>3548867.0</v>
      </c>
      <c r="I6" s="5">
        <v>3514507.0</v>
      </c>
      <c r="J6" s="5">
        <v>4007070.0</v>
      </c>
      <c r="K6" s="5">
        <v>3515595.0</v>
      </c>
      <c r="L6" s="5">
        <v>4098354.0</v>
      </c>
      <c r="M6" s="5">
        <v>4443548.0</v>
      </c>
      <c r="N6" s="10">
        <f t="shared" si="1"/>
        <v>51237953</v>
      </c>
    </row>
    <row r="7" ht="14.25" customHeight="1">
      <c r="A7" s="4" t="s">
        <v>108</v>
      </c>
      <c r="B7" s="5">
        <v>504661.0</v>
      </c>
      <c r="C7" s="5">
        <v>491592.0</v>
      </c>
      <c r="D7" s="5">
        <v>454077.0</v>
      </c>
      <c r="E7" s="5">
        <v>472890.0</v>
      </c>
      <c r="F7" s="5">
        <v>419682.0</v>
      </c>
      <c r="G7" s="5">
        <v>522441.0</v>
      </c>
      <c r="H7" s="5">
        <v>864535.0</v>
      </c>
      <c r="I7" s="5">
        <v>837753.0</v>
      </c>
      <c r="J7" s="5">
        <v>967455.0</v>
      </c>
      <c r="K7" s="5">
        <v>851537.0</v>
      </c>
      <c r="L7" s="5">
        <v>979353.0</v>
      </c>
      <c r="M7" s="5">
        <v>525209.0</v>
      </c>
      <c r="N7" s="10">
        <f t="shared" si="1"/>
        <v>7891185</v>
      </c>
    </row>
    <row r="8" ht="14.25" customHeight="1">
      <c r="A8" s="4" t="s">
        <v>109</v>
      </c>
      <c r="B8" s="5">
        <f t="shared" ref="B8:M8" si="2">SUM(B5:B7)</f>
        <v>8862257</v>
      </c>
      <c r="C8" s="5">
        <f t="shared" si="2"/>
        <v>8259117</v>
      </c>
      <c r="D8" s="5">
        <f t="shared" si="2"/>
        <v>7288250</v>
      </c>
      <c r="E8" s="5">
        <f t="shared" si="2"/>
        <v>8296459</v>
      </c>
      <c r="F8" s="5">
        <f t="shared" si="2"/>
        <v>7184440</v>
      </c>
      <c r="G8" s="5">
        <f t="shared" si="2"/>
        <v>7010027</v>
      </c>
      <c r="H8" s="5">
        <f t="shared" si="2"/>
        <v>6816903</v>
      </c>
      <c r="I8" s="5">
        <f t="shared" si="2"/>
        <v>6626118</v>
      </c>
      <c r="J8" s="5">
        <f t="shared" si="2"/>
        <v>7409987</v>
      </c>
      <c r="K8" s="5">
        <f t="shared" si="2"/>
        <v>6770371</v>
      </c>
      <c r="L8" s="5">
        <f t="shared" si="2"/>
        <v>7930605</v>
      </c>
      <c r="M8" s="5">
        <f t="shared" si="2"/>
        <v>7418668</v>
      </c>
      <c r="N8" s="10">
        <f t="shared" si="1"/>
        <v>89873202</v>
      </c>
    </row>
    <row r="9" ht="14.25" customHeight="1">
      <c r="A9" s="4" t="s">
        <v>110</v>
      </c>
      <c r="B9" s="5">
        <v>11470.0</v>
      </c>
      <c r="C9" s="5">
        <v>11705.0</v>
      </c>
      <c r="D9" s="5">
        <v>9871.0</v>
      </c>
      <c r="E9" s="5">
        <v>11259.0</v>
      </c>
      <c r="F9" s="5">
        <v>9538.0</v>
      </c>
      <c r="G9" s="5">
        <v>10425.0</v>
      </c>
      <c r="H9" s="5">
        <v>10553.0</v>
      </c>
      <c r="I9" s="5">
        <v>9194.0</v>
      </c>
      <c r="J9" s="5">
        <v>10842.0</v>
      </c>
      <c r="K9" s="5">
        <v>10624.0</v>
      </c>
      <c r="L9" s="5">
        <v>11198.0</v>
      </c>
      <c r="M9" s="5">
        <v>11332.0</v>
      </c>
      <c r="N9" s="10">
        <f t="shared" ref="N9:N10" si="3">MAX(B9:M9)</f>
        <v>11705</v>
      </c>
    </row>
    <row r="10" ht="14.25" customHeight="1">
      <c r="A10" s="4" t="s">
        <v>111</v>
      </c>
      <c r="B10" s="5">
        <v>13876.0</v>
      </c>
      <c r="C10" s="5">
        <v>12603.0</v>
      </c>
      <c r="D10" s="5">
        <v>10891.0</v>
      </c>
      <c r="E10" s="5">
        <v>12346.0</v>
      </c>
      <c r="F10" s="5">
        <v>11549.0</v>
      </c>
      <c r="G10" s="5">
        <v>10451.0</v>
      </c>
      <c r="H10" s="5">
        <v>12398.0</v>
      </c>
      <c r="I10" s="5">
        <v>12134.0</v>
      </c>
      <c r="J10" s="5">
        <v>12875.0</v>
      </c>
      <c r="K10" s="5">
        <v>13847.0</v>
      </c>
      <c r="L10" s="5">
        <v>14503.0</v>
      </c>
      <c r="M10" s="5">
        <v>13374.0</v>
      </c>
      <c r="N10" s="10">
        <f t="shared" si="3"/>
        <v>14503</v>
      </c>
    </row>
    <row r="11" ht="14.25" customHeight="1">
      <c r="A11" s="4" t="s">
        <v>112</v>
      </c>
      <c r="B11" s="19">
        <v>22.0</v>
      </c>
      <c r="C11" s="19">
        <v>21.0</v>
      </c>
      <c r="D11" s="19">
        <v>23.0</v>
      </c>
      <c r="E11" s="19">
        <v>21.0</v>
      </c>
      <c r="F11" s="19">
        <v>22.0</v>
      </c>
      <c r="G11" s="19">
        <v>23.0</v>
      </c>
      <c r="H11" s="19">
        <v>25.0</v>
      </c>
      <c r="I11" s="19">
        <v>27.0</v>
      </c>
      <c r="J11" s="19">
        <v>27.0</v>
      </c>
      <c r="K11" s="19">
        <v>24.0</v>
      </c>
      <c r="L11" s="19">
        <v>26.0</v>
      </c>
      <c r="M11" s="19">
        <v>23.0</v>
      </c>
    </row>
    <row r="12" ht="14.25" customHeight="1">
      <c r="A12" s="4" t="s">
        <v>113</v>
      </c>
      <c r="B12" s="20">
        <v>2.0</v>
      </c>
      <c r="C12" s="20">
        <v>2.0</v>
      </c>
      <c r="D12" s="20">
        <v>2.0</v>
      </c>
      <c r="E12" s="20">
        <v>2.0</v>
      </c>
      <c r="F12" s="20">
        <v>2.0</v>
      </c>
      <c r="G12" s="20">
        <v>2.43</v>
      </c>
      <c r="H12" s="20">
        <v>3.6</v>
      </c>
      <c r="I12" s="20">
        <v>3.7</v>
      </c>
      <c r="J12" s="20">
        <v>3.63</v>
      </c>
      <c r="K12" s="20">
        <v>3.67</v>
      </c>
      <c r="L12" s="20">
        <v>3.69</v>
      </c>
      <c r="M12" s="20">
        <v>2.26</v>
      </c>
    </row>
    <row r="13" ht="14.25" customHeight="1">
      <c r="A13" s="4" t="s">
        <v>114</v>
      </c>
      <c r="B13" s="19">
        <v>31.0</v>
      </c>
      <c r="C13" s="19">
        <v>30.0</v>
      </c>
      <c r="D13" s="19">
        <v>31.0</v>
      </c>
      <c r="E13" s="19">
        <v>31.0</v>
      </c>
      <c r="F13" s="19">
        <v>30.0</v>
      </c>
      <c r="G13" s="19">
        <v>31.0</v>
      </c>
      <c r="H13" s="19">
        <v>30.0</v>
      </c>
      <c r="I13" s="19">
        <v>31.0</v>
      </c>
      <c r="J13" s="19">
        <v>31.0</v>
      </c>
      <c r="K13" s="19">
        <v>28.0</v>
      </c>
      <c r="L13" s="19">
        <v>31.0</v>
      </c>
      <c r="M13" s="19">
        <v>30.0</v>
      </c>
    </row>
    <row r="14" ht="14.25" customHeight="1">
      <c r="A14" s="4" t="s">
        <v>115</v>
      </c>
      <c r="B14" s="9">
        <v>1.1749</v>
      </c>
      <c r="C14" s="9">
        <v>1.1983</v>
      </c>
      <c r="D14" s="9">
        <v>1.2133</v>
      </c>
      <c r="E14" s="9">
        <v>1.2147</v>
      </c>
      <c r="F14" s="9">
        <v>1.2095</v>
      </c>
      <c r="G14" s="9">
        <v>1.2095</v>
      </c>
      <c r="H14" s="9">
        <v>1.1791</v>
      </c>
      <c r="I14" s="9">
        <v>1.1301</v>
      </c>
      <c r="J14" s="9">
        <v>1.106</v>
      </c>
      <c r="K14" s="9">
        <v>1.1065</v>
      </c>
      <c r="L14" s="9">
        <v>1.1071</v>
      </c>
      <c r="M14" s="9">
        <v>1.107</v>
      </c>
    </row>
    <row r="15" ht="14.25" customHeight="1">
      <c r="A15" s="4" t="s">
        <v>116</v>
      </c>
      <c r="B15" s="9">
        <v>1.9422</v>
      </c>
      <c r="C15" s="9">
        <v>1.9837</v>
      </c>
      <c r="D15" s="9">
        <v>2.0106</v>
      </c>
      <c r="E15" s="9">
        <v>2.0131</v>
      </c>
      <c r="F15" s="9">
        <v>2.0005</v>
      </c>
      <c r="G15" s="9">
        <v>2.0006</v>
      </c>
      <c r="H15" s="9">
        <v>1.9464</v>
      </c>
      <c r="I15" s="9">
        <v>1.859</v>
      </c>
      <c r="J15" s="9">
        <v>1.8185</v>
      </c>
      <c r="K15" s="9">
        <v>1.8194</v>
      </c>
      <c r="L15" s="9">
        <v>1.8204</v>
      </c>
      <c r="M15" s="9">
        <v>1.8204</v>
      </c>
    </row>
    <row r="16" ht="14.25" customHeight="1">
      <c r="A16" s="4" t="s">
        <v>117</v>
      </c>
      <c r="B16" s="9">
        <v>2.273</v>
      </c>
      <c r="C16" s="9">
        <v>2.3224</v>
      </c>
      <c r="D16" s="9">
        <v>2.3544</v>
      </c>
      <c r="E16" s="9">
        <v>2.3574</v>
      </c>
      <c r="F16" s="9">
        <v>2.3417</v>
      </c>
      <c r="G16" s="9">
        <v>2.3417</v>
      </c>
      <c r="H16" s="9">
        <v>2.2773</v>
      </c>
      <c r="I16" s="9">
        <v>2.1734</v>
      </c>
      <c r="J16" s="9">
        <v>2.1258</v>
      </c>
      <c r="K16" s="9">
        <v>2.1269</v>
      </c>
      <c r="L16" s="9">
        <v>2.1281</v>
      </c>
      <c r="M16" s="9">
        <v>2.128</v>
      </c>
    </row>
    <row r="17" ht="14.25" customHeight="1">
      <c r="A17" s="4" t="s">
        <v>118</v>
      </c>
      <c r="B17" s="21">
        <v>432.62</v>
      </c>
      <c r="C17" s="21">
        <v>442.9</v>
      </c>
      <c r="D17" s="21">
        <v>449.54</v>
      </c>
      <c r="E17" s="21">
        <v>450.17</v>
      </c>
      <c r="F17" s="21">
        <v>446.05</v>
      </c>
      <c r="G17" s="21">
        <v>446.05</v>
      </c>
      <c r="H17" s="21">
        <v>432.66</v>
      </c>
      <c r="I17" s="21">
        <v>411.03</v>
      </c>
      <c r="J17" s="21">
        <v>401.78</v>
      </c>
      <c r="K17" s="21">
        <v>402.01</v>
      </c>
      <c r="L17" s="21">
        <v>402.26</v>
      </c>
      <c r="M17" s="21">
        <v>402.24</v>
      </c>
    </row>
    <row r="18" ht="14.25" customHeight="1">
      <c r="A18" s="4" t="s">
        <v>119</v>
      </c>
      <c r="B18" s="21">
        <v>91.12</v>
      </c>
      <c r="C18" s="21">
        <v>91.12</v>
      </c>
      <c r="D18" s="21">
        <v>91.12</v>
      </c>
      <c r="E18" s="21">
        <v>91.12</v>
      </c>
      <c r="F18" s="21">
        <v>91.12</v>
      </c>
      <c r="G18" s="21">
        <v>91.12</v>
      </c>
      <c r="H18" s="21">
        <v>91.12</v>
      </c>
      <c r="I18" s="21">
        <v>91.12</v>
      </c>
      <c r="J18" s="21">
        <v>86.15</v>
      </c>
      <c r="K18" s="21">
        <v>86.15</v>
      </c>
      <c r="L18" s="21">
        <v>86.15</v>
      </c>
      <c r="M18" s="21">
        <v>86.15</v>
      </c>
    </row>
    <row r="19" ht="14.25" customHeight="1">
      <c r="A19" s="4" t="s">
        <v>121</v>
      </c>
      <c r="B19" s="5">
        <v>1.8374851E7</v>
      </c>
      <c r="C19" s="5">
        <v>1.9150128E7</v>
      </c>
      <c r="D19" s="5">
        <v>1.6543765E7</v>
      </c>
      <c r="E19" s="5">
        <v>1.8816263E7</v>
      </c>
      <c r="F19" s="5">
        <v>1.6458917E7</v>
      </c>
      <c r="G19" s="5">
        <v>1.6143663E7</v>
      </c>
      <c r="H19" s="5">
        <v>1.5535451E7</v>
      </c>
      <c r="I19" s="5">
        <v>1.4564709E7</v>
      </c>
      <c r="J19" s="5">
        <v>1.5688788E7</v>
      </c>
      <c r="K19" s="5">
        <v>1.4520758E7</v>
      </c>
      <c r="L19" s="5">
        <v>1.8689765E7</v>
      </c>
      <c r="M19" s="5">
        <v>1.7763059E7</v>
      </c>
      <c r="N19" s="10">
        <f>SUM(B19:M19)</f>
        <v>202250117</v>
      </c>
    </row>
    <row r="20" ht="14.25" customHeight="1">
      <c r="A20" s="4" t="s">
        <v>234</v>
      </c>
      <c r="B20" s="5">
        <f>B8/(24*B13*Supuestos!$B$15)</f>
        <v>20897.60658</v>
      </c>
      <c r="C20" s="5">
        <f>C8/(24*C13*Supuestos!$B$15)</f>
        <v>20124.55409</v>
      </c>
      <c r="D20" s="5">
        <f>D8/(24*D13*Supuestos!$B$15)</f>
        <v>17186.02622</v>
      </c>
      <c r="E20" s="5">
        <f>E8/(24*E13*Supuestos!$B$15)</f>
        <v>19563.42907</v>
      </c>
      <c r="F20" s="5">
        <f>F8/(24*F13*Supuestos!$B$15)</f>
        <v>17505.94542</v>
      </c>
      <c r="G20" s="5">
        <f>G8/(24*G13*Supuestos!$B$15)</f>
        <v>16529.96369</v>
      </c>
      <c r="H20" s="5">
        <f>H8/(24*H13*Supuestos!$B$15)</f>
        <v>16610.38743</v>
      </c>
      <c r="I20" s="5">
        <f>I8/(24*I13*Supuestos!$B$15)</f>
        <v>15624.68874</v>
      </c>
      <c r="J20" s="5">
        <f>J8/(24*J13*Supuestos!$B$15)</f>
        <v>17473.08762</v>
      </c>
      <c r="K20" s="5">
        <f>K8/(24*K13*Supuestos!$B$15)</f>
        <v>17675.36289</v>
      </c>
      <c r="L20" s="5">
        <f>L8/(24*L13*Supuestos!$B$15)</f>
        <v>18700.72864</v>
      </c>
      <c r="M20" s="5">
        <f>M8/(24*M13*Supuestos!$B$15)</f>
        <v>18076.67641</v>
      </c>
    </row>
    <row r="21" ht="14.25" customHeight="1">
      <c r="A21" s="4" t="s">
        <v>124</v>
      </c>
      <c r="B21" s="23">
        <v>143.096</v>
      </c>
      <c r="C21" s="23">
        <v>133.92</v>
      </c>
      <c r="D21" s="23">
        <v>135.16</v>
      </c>
      <c r="E21" s="23">
        <v>126.48</v>
      </c>
      <c r="F21" s="23">
        <v>119.52</v>
      </c>
      <c r="G21" s="23">
        <v>131.688</v>
      </c>
      <c r="H21" s="23">
        <v>136.56</v>
      </c>
      <c r="I21" s="23">
        <v>130.944</v>
      </c>
      <c r="J21" s="23">
        <v>142.848</v>
      </c>
      <c r="K21" s="23">
        <v>139.104</v>
      </c>
      <c r="L21" s="23">
        <v>170.128</v>
      </c>
      <c r="M21" s="23">
        <v>150.72</v>
      </c>
      <c r="N21" s="24">
        <f>SUM(B21:M21)</f>
        <v>1660.168</v>
      </c>
    </row>
    <row r="22" ht="14.25" customHeight="1"/>
    <row r="23" ht="14.25" customHeight="1">
      <c r="A23" s="1" t="s">
        <v>125</v>
      </c>
    </row>
    <row r="24" ht="14.25" customHeight="1">
      <c r="A24" s="18" t="s">
        <v>126</v>
      </c>
      <c r="C24" s="2" t="s">
        <v>127</v>
      </c>
      <c r="D24" s="2" t="s">
        <v>128</v>
      </c>
    </row>
    <row r="25" ht="14.25" customHeight="1">
      <c r="A25" s="4" t="s">
        <v>129</v>
      </c>
      <c r="C25" s="4" t="s">
        <v>130</v>
      </c>
      <c r="D25" s="4" t="s">
        <v>131</v>
      </c>
    </row>
    <row r="26" ht="14.25" customHeight="1">
      <c r="A26" s="4" t="s">
        <v>132</v>
      </c>
      <c r="C26" s="25">
        <v>3848.9</v>
      </c>
      <c r="D26" s="25">
        <v>2518.35</v>
      </c>
    </row>
    <row r="27" ht="14.25" customHeight="1">
      <c r="A27" s="4" t="s">
        <v>133</v>
      </c>
      <c r="C27" s="5">
        <f>C26*Supuestos!$B$24</f>
        <v>15395.6</v>
      </c>
      <c r="D27" s="5">
        <f>D26*Supuestos!$B$24</f>
        <v>10073.4</v>
      </c>
    </row>
    <row r="28" ht="14.25" customHeight="1">
      <c r="A28" s="4" t="s">
        <v>134</v>
      </c>
      <c r="C28" s="25">
        <v>11787.0</v>
      </c>
      <c r="D28" s="25">
        <v>11787.0</v>
      </c>
    </row>
    <row r="29" ht="14.25" customHeight="1">
      <c r="A29" s="4" t="s">
        <v>135</v>
      </c>
      <c r="C29" s="25">
        <v>23574.0</v>
      </c>
      <c r="D29" s="25">
        <v>23574.0</v>
      </c>
    </row>
    <row r="30" ht="14.25" customHeight="1">
      <c r="A30" s="4" t="s">
        <v>136</v>
      </c>
      <c r="C30" s="5">
        <f>C29*Supuestos!$B$13*SQRT(Supuestos!$B$14)</f>
        <v>22173.80014</v>
      </c>
      <c r="D30" s="5">
        <f>D29*Supuestos!$B$13*SQRT(Supuestos!$B$14)</f>
        <v>22173.80014</v>
      </c>
    </row>
    <row r="31" ht="14.25" customHeight="1">
      <c r="A31" s="4" t="s">
        <v>137</v>
      </c>
      <c r="C31" s="26">
        <v>1.3526645380146771</v>
      </c>
      <c r="D31" s="26">
        <v>1.6148562209476132</v>
      </c>
    </row>
    <row r="32" ht="14.25" customHeight="1">
      <c r="A32" s="4" t="s">
        <v>138</v>
      </c>
      <c r="C32" s="8">
        <f>Supuestos!$B$17</f>
        <v>0.5</v>
      </c>
      <c r="D32" s="8">
        <f>Supuestos!$B$17</f>
        <v>0.5</v>
      </c>
    </row>
    <row r="33" ht="14.25" customHeight="1">
      <c r="A33" s="4" t="s">
        <v>139</v>
      </c>
      <c r="C33" s="5">
        <f>C26*1000*Supuestos!$B$5</f>
        <v>2501785</v>
      </c>
      <c r="D33" s="5">
        <f>D26*1000*Supuestos!$B$5</f>
        <v>1636927.5</v>
      </c>
    </row>
    <row r="34" ht="14.25" customHeight="1">
      <c r="A34" s="4" t="s">
        <v>140</v>
      </c>
      <c r="C34" s="5">
        <f>C33*Supuestos!$B$4</f>
        <v>43906326.75</v>
      </c>
      <c r="D34" s="5">
        <f>D33*Supuestos!$B$4</f>
        <v>28728077.63</v>
      </c>
    </row>
    <row r="35" ht="14.25" customHeight="1">
      <c r="A35" s="4" t="s">
        <v>141</v>
      </c>
      <c r="C35" s="5">
        <f>C29*1000*Supuestos!$B$7</f>
        <v>6600720</v>
      </c>
      <c r="D35" s="5">
        <f>D29*1000*Supuestos!$B$7</f>
        <v>6600720</v>
      </c>
    </row>
    <row r="36" ht="14.25" customHeight="1">
      <c r="A36" s="4" t="s">
        <v>142</v>
      </c>
      <c r="C36" s="5">
        <f>C35*Supuestos!$B$4</f>
        <v>115842636</v>
      </c>
      <c r="D36" s="5">
        <f>D35*Supuestos!$B$4</f>
        <v>115842636</v>
      </c>
    </row>
    <row r="37" ht="14.25" customHeight="1">
      <c r="A37" s="27" t="s">
        <v>143</v>
      </c>
      <c r="B37" s="28"/>
      <c r="C37" s="28"/>
      <c r="D37" s="28"/>
    </row>
    <row r="38" ht="14.25" customHeight="1">
      <c r="A38" s="4" t="s">
        <v>144</v>
      </c>
      <c r="C38" s="25">
        <v>5.766410565644266E7</v>
      </c>
      <c r="D38" s="5">
        <f>C38</f>
        <v>57664105.66</v>
      </c>
    </row>
    <row r="39" ht="14.25" customHeight="1">
      <c r="A39" s="4" t="s">
        <v>145</v>
      </c>
      <c r="C39" s="25">
        <f t="shared" ref="C39:D39" si="4">$N$19+C38</f>
        <v>259914222.7</v>
      </c>
      <c r="D39" s="25">
        <f t="shared" si="4"/>
        <v>259914222.7</v>
      </c>
    </row>
    <row r="40" ht="14.25" customHeight="1">
      <c r="A40" s="4" t="s">
        <v>146</v>
      </c>
      <c r="C40" s="5">
        <f t="shared" ref="C40:D40" si="5">C39-C38</f>
        <v>202250117</v>
      </c>
      <c r="D40" s="5">
        <f t="shared" si="5"/>
        <v>202250117</v>
      </c>
    </row>
    <row r="41" ht="14.25" customHeight="1">
      <c r="A41" s="4" t="s">
        <v>147</v>
      </c>
      <c r="C41" s="5">
        <f>C72</f>
        <v>6389820.615</v>
      </c>
      <c r="D41" s="5">
        <f>C89</f>
        <v>4180884.083</v>
      </c>
    </row>
    <row r="42" ht="14.25" customHeight="1">
      <c r="A42" s="4" t="s">
        <v>148</v>
      </c>
      <c r="C42" s="5">
        <f>K72</f>
        <v>6389820.615</v>
      </c>
      <c r="D42" s="5">
        <f>K89</f>
        <v>4180884.083</v>
      </c>
    </row>
    <row r="43" ht="14.25" customHeight="1">
      <c r="A43" s="4" t="s">
        <v>149</v>
      </c>
      <c r="C43" s="5">
        <f>M72</f>
        <v>12005084.82</v>
      </c>
      <c r="D43" s="5">
        <f>M89</f>
        <v>7857249.497</v>
      </c>
    </row>
    <row r="44" ht="14.25" customHeight="1">
      <c r="A44" s="4" t="s">
        <v>150</v>
      </c>
      <c r="C44" s="5">
        <f>R72*(12-Supuestos!$B$16)/12</f>
        <v>38176081.32</v>
      </c>
      <c r="D44" s="5">
        <f>R89*(12-Supuestos!$B$16)/12</f>
        <v>38176081.32</v>
      </c>
    </row>
    <row r="45" ht="14.25" customHeight="1">
      <c r="A45" s="3" t="s">
        <v>151</v>
      </c>
      <c r="C45" s="7">
        <f t="shared" ref="C45:D45" si="6">C43+C44</f>
        <v>50181166.14</v>
      </c>
      <c r="D45" s="7">
        <f t="shared" si="6"/>
        <v>46033330.81</v>
      </c>
    </row>
    <row r="46" ht="14.25" customHeight="1">
      <c r="A46" s="4" t="s">
        <v>152</v>
      </c>
      <c r="C46" s="5">
        <f t="shared" ref="C46:D46" si="7">C42*C31</f>
        <v>7058195.852</v>
      </c>
      <c r="D46" s="5">
        <f t="shared" si="7"/>
        <v>4618204.558</v>
      </c>
    </row>
    <row r="47" ht="14.25" customHeight="1">
      <c r="A47" s="4" t="s">
        <v>153</v>
      </c>
      <c r="C47" s="5">
        <f t="shared" ref="C47:D47" si="8">C44*C32</f>
        <v>19088040.66</v>
      </c>
      <c r="D47" s="5">
        <f t="shared" si="8"/>
        <v>19088040.66</v>
      </c>
    </row>
    <row r="48" ht="14.25" customHeight="1">
      <c r="A48" s="3" t="s">
        <v>154</v>
      </c>
      <c r="C48" s="7">
        <f t="shared" ref="C48:D48" si="9">C45-C46-C47</f>
        <v>24034929.63</v>
      </c>
      <c r="D48" s="7">
        <f t="shared" si="9"/>
        <v>22327085.6</v>
      </c>
    </row>
    <row r="49" ht="14.25" customHeight="1">
      <c r="A49" s="4" t="s">
        <v>155</v>
      </c>
      <c r="C49" s="8">
        <f t="shared" ref="C49:D49" si="10">C45/$N$19</f>
        <v>0.2481143986</v>
      </c>
      <c r="D49" s="8">
        <f t="shared" si="10"/>
        <v>0.2276059539</v>
      </c>
    </row>
    <row r="50" ht="14.25" customHeight="1">
      <c r="A50" s="4" t="s">
        <v>156</v>
      </c>
      <c r="C50" s="8">
        <f t="shared" ref="C50:D50" si="11">C48/$N$19</f>
        <v>0.118837655</v>
      </c>
      <c r="D50" s="8">
        <f t="shared" si="11"/>
        <v>0.1103934372</v>
      </c>
    </row>
    <row r="51" ht="14.25" customHeight="1">
      <c r="A51" s="4" t="s">
        <v>157</v>
      </c>
      <c r="C51" s="8">
        <f>IRR(M94:M114)</f>
        <v>0.1431551088</v>
      </c>
      <c r="D51" s="8">
        <f>IRR(M119:M139)</f>
        <v>0.1431551088</v>
      </c>
    </row>
    <row r="52" ht="14.25" customHeight="1">
      <c r="A52" s="4" t="s">
        <v>158</v>
      </c>
      <c r="C52" s="8">
        <f>IRR(N94:N114)</f>
        <v>0.1258465874</v>
      </c>
      <c r="D52" s="8">
        <f>IRR(N119:N139)</f>
        <v>0.1258465874</v>
      </c>
    </row>
    <row r="53" ht="14.25" customHeight="1">
      <c r="A53" s="4" t="s">
        <v>159</v>
      </c>
      <c r="C53" s="8">
        <v>0.5655</v>
      </c>
      <c r="D53" s="8">
        <v>0.5655</v>
      </c>
    </row>
    <row r="54" ht="14.25" customHeight="1">
      <c r="A54" s="4" t="s">
        <v>160</v>
      </c>
      <c r="C54" s="19">
        <f>COUNTIF(O94:O114,"&lt;0")</f>
        <v>7</v>
      </c>
      <c r="D54" s="19">
        <f>COUNTIF(O119:O139,"&lt;0")</f>
        <v>7</v>
      </c>
    </row>
    <row r="55" ht="14.25" customHeight="1">
      <c r="A55" s="4" t="s">
        <v>161</v>
      </c>
      <c r="C55" s="5">
        <f t="array" ref="C55">NPV(Supuestos!$B$21,J95:J114)</f>
        <v>262712252.5</v>
      </c>
      <c r="D55" s="5">
        <f t="array" ref="D55">NPV(Supuestos!$B$21,J120:J139)</f>
        <v>242308404.8</v>
      </c>
    </row>
    <row r="56" ht="14.25" customHeight="1"/>
    <row r="57" ht="14.25" customHeight="1"/>
    <row r="58" ht="14.25" customHeight="1">
      <c r="A58" s="1" t="s">
        <v>162</v>
      </c>
    </row>
    <row r="59" ht="14.25" customHeight="1">
      <c r="B59" s="2" t="s">
        <v>92</v>
      </c>
      <c r="C59" s="2" t="s">
        <v>163</v>
      </c>
      <c r="D59" s="2" t="s">
        <v>164</v>
      </c>
      <c r="E59" s="2" t="s">
        <v>165</v>
      </c>
      <c r="F59" s="2" t="s">
        <v>166</v>
      </c>
      <c r="G59" s="2" t="s">
        <v>167</v>
      </c>
      <c r="H59" s="2" t="s">
        <v>168</v>
      </c>
      <c r="I59" s="2" t="s">
        <v>169</v>
      </c>
      <c r="J59" s="2" t="s">
        <v>170</v>
      </c>
      <c r="K59" s="2" t="s">
        <v>171</v>
      </c>
      <c r="L59" s="2" t="s">
        <v>172</v>
      </c>
      <c r="M59" s="2" t="s">
        <v>173</v>
      </c>
      <c r="N59" s="2" t="s">
        <v>174</v>
      </c>
      <c r="O59" s="2" t="s">
        <v>175</v>
      </c>
      <c r="P59" s="2" t="s">
        <v>176</v>
      </c>
      <c r="Q59" s="2" t="s">
        <v>177</v>
      </c>
      <c r="R59" s="2" t="s">
        <v>178</v>
      </c>
      <c r="S59" s="3" t="s">
        <v>179</v>
      </c>
      <c r="T59" s="3" t="s">
        <v>180</v>
      </c>
    </row>
    <row r="60" ht="14.25" customHeight="1">
      <c r="B60" s="4" t="s">
        <v>93</v>
      </c>
      <c r="C60" s="5">
        <f>$C$26*B$21</f>
        <v>550762.1944</v>
      </c>
      <c r="D60" s="8">
        <v>0.1290321409247552</v>
      </c>
      <c r="E60" s="8">
        <v>0.8709678590752449</v>
      </c>
      <c r="F60" s="8">
        <v>0.0</v>
      </c>
      <c r="G60" s="5">
        <f t="shared" ref="G60:G71" si="12">C60*D60</f>
        <v>71066.02508</v>
      </c>
      <c r="H60" s="5">
        <f t="shared" ref="H60:H71" si="13">C60*E60</f>
        <v>479696.1693</v>
      </c>
      <c r="I60" s="5">
        <f t="shared" ref="I60:I71" si="14">C60*F60</f>
        <v>0</v>
      </c>
      <c r="J60" s="5">
        <f>G60*B$14+H60*B$15+I60*B$16</f>
        <v>1015161.373</v>
      </c>
      <c r="K60" s="5">
        <f t="shared" ref="K60:K71" si="15">G60+H60+I60</f>
        <v>550762.1944</v>
      </c>
      <c r="L60" s="25">
        <v>25531.0</v>
      </c>
      <c r="M60" s="5">
        <f t="shared" ref="M60:M71" si="16">J60+L60*$C$26/3848.9</f>
        <v>1040692.373</v>
      </c>
      <c r="N60" s="5">
        <f>MIN($C$30*B$11,$C$28*B$12*B$11,B$7)</f>
        <v>487823.6031</v>
      </c>
      <c r="O60" s="5">
        <f>N60/Supuestos!$B$14*B$14</f>
        <v>597024.9492</v>
      </c>
      <c r="P60" s="5">
        <f>N60*B$16-O60</f>
        <v>511798.1006</v>
      </c>
      <c r="Q60" s="5">
        <f>4796415*MIN(1,$C$30/22174)</f>
        <v>4796371.769</v>
      </c>
      <c r="R60" s="5">
        <f t="shared" ref="R60:R71" si="17">P60+Q60</f>
        <v>5308169.869</v>
      </c>
      <c r="S60" s="5">
        <f>Q60/B$17</f>
        <v>11086.80081</v>
      </c>
      <c r="T60" s="5">
        <f>B$9-S60</f>
        <v>383.1991851</v>
      </c>
    </row>
    <row r="61" ht="14.25" customHeight="1">
      <c r="B61" s="4" t="s">
        <v>94</v>
      </c>
      <c r="C61" s="5">
        <f>$C$26*C$21</f>
        <v>515444.688</v>
      </c>
      <c r="D61" s="8">
        <v>0.1666656966310664</v>
      </c>
      <c r="E61" s="8">
        <v>0.8333323632977331</v>
      </c>
      <c r="F61" s="8">
        <v>0.0</v>
      </c>
      <c r="G61" s="5">
        <f t="shared" si="12"/>
        <v>85906.948</v>
      </c>
      <c r="H61" s="5">
        <f t="shared" si="13"/>
        <v>429536.74</v>
      </c>
      <c r="I61" s="5">
        <f t="shared" si="14"/>
        <v>0</v>
      </c>
      <c r="J61" s="5">
        <f>G61*C$14+H61*C$15+I61*C$16</f>
        <v>955014.3269</v>
      </c>
      <c r="K61" s="5">
        <f t="shared" si="15"/>
        <v>515443.688</v>
      </c>
      <c r="L61" s="25">
        <v>24690.0</v>
      </c>
      <c r="M61" s="5">
        <f t="shared" si="16"/>
        <v>979704.3269</v>
      </c>
      <c r="N61" s="5">
        <f>MIN($C$30*C$11,$C$28*C$12*C$11,C$7)</f>
        <v>465649.8029</v>
      </c>
      <c r="O61" s="5">
        <f>N61/Supuestos!$B$14*C$14</f>
        <v>581237.6655</v>
      </c>
      <c r="P61" s="5">
        <f>N61*C$16-O61</f>
        <v>500187.4369</v>
      </c>
      <c r="Q61" s="5">
        <f>4910388*MIN(1,$C$30/22174)</f>
        <v>4910343.741</v>
      </c>
      <c r="R61" s="5">
        <f t="shared" si="17"/>
        <v>5410531.178</v>
      </c>
      <c r="S61" s="5">
        <f>Q61/C$17</f>
        <v>11086.80005</v>
      </c>
      <c r="T61" s="5">
        <f>C$9-S61</f>
        <v>618.199952</v>
      </c>
    </row>
    <row r="62" ht="14.25" customHeight="1">
      <c r="B62" s="4" t="s">
        <v>95</v>
      </c>
      <c r="C62" s="5">
        <f>$C$26*D$21</f>
        <v>520217.324</v>
      </c>
      <c r="D62" s="8">
        <v>0.1290326921265549</v>
      </c>
      <c r="E62" s="8">
        <v>0.8709692301481882</v>
      </c>
      <c r="F62" s="8">
        <v>0.0</v>
      </c>
      <c r="G62" s="5">
        <f t="shared" si="12"/>
        <v>67125.04181</v>
      </c>
      <c r="H62" s="5">
        <f t="shared" si="13"/>
        <v>453093.2822</v>
      </c>
      <c r="I62" s="5">
        <f t="shared" si="14"/>
        <v>0</v>
      </c>
      <c r="J62" s="5">
        <f>G62*D$14+H62*D$15+I62*D$16</f>
        <v>992432.1664</v>
      </c>
      <c r="K62" s="5">
        <f t="shared" si="15"/>
        <v>520218.324</v>
      </c>
      <c r="L62" s="25">
        <v>24115.0</v>
      </c>
      <c r="M62" s="5">
        <f t="shared" si="16"/>
        <v>1016547.166</v>
      </c>
      <c r="N62" s="5">
        <f>MIN($C$30*D$11,$C$28*D$12*D$11,D$7)</f>
        <v>454077</v>
      </c>
      <c r="O62" s="5">
        <f>N62/Supuestos!$B$14*D$14</f>
        <v>573887.1084</v>
      </c>
      <c r="P62" s="5">
        <f>N62*D$16-O62</f>
        <v>495191.7804</v>
      </c>
      <c r="Q62" s="5">
        <f>4437517*MIN(1,$C$30/22174)</f>
        <v>4437477.003</v>
      </c>
      <c r="R62" s="5">
        <f t="shared" si="17"/>
        <v>4932668.784</v>
      </c>
      <c r="S62" s="5">
        <f>Q62/D$17</f>
        <v>9871.150517</v>
      </c>
      <c r="T62" s="5">
        <f>D$9-S62</f>
        <v>-0.1505169555</v>
      </c>
    </row>
    <row r="63" ht="14.25" customHeight="1">
      <c r="B63" s="4" t="s">
        <v>96</v>
      </c>
      <c r="C63" s="5">
        <f>$C$26*E$21</f>
        <v>486808.872</v>
      </c>
      <c r="D63" s="8">
        <v>0.1612911840167293</v>
      </c>
      <c r="E63" s="8">
        <v>0.8387088159832706</v>
      </c>
      <c r="F63" s="8">
        <v>0.0</v>
      </c>
      <c r="G63" s="5">
        <f t="shared" si="12"/>
        <v>78517.97935</v>
      </c>
      <c r="H63" s="5">
        <f t="shared" si="13"/>
        <v>408290.8926</v>
      </c>
      <c r="I63" s="5">
        <f t="shared" si="14"/>
        <v>0</v>
      </c>
      <c r="J63" s="5">
        <f>G63*E$14+H63*E$15+I63*E$16</f>
        <v>917306.1855</v>
      </c>
      <c r="K63" s="5">
        <f t="shared" si="15"/>
        <v>486808.872</v>
      </c>
      <c r="L63" s="25">
        <v>22566.0</v>
      </c>
      <c r="M63" s="5">
        <f t="shared" si="16"/>
        <v>939872.1855</v>
      </c>
      <c r="N63" s="5">
        <f>MIN($C$30*E$11,$C$28*E$12*E$11,E$7)</f>
        <v>465649.8029</v>
      </c>
      <c r="O63" s="5">
        <f>N63/Supuestos!$B$14*E$14</f>
        <v>589192.5163</v>
      </c>
      <c r="P63" s="5">
        <f>N63*E$16-O63</f>
        <v>508530.3292</v>
      </c>
      <c r="Q63" s="5">
        <f>4987648*MIN(1,$C$30/22174)</f>
        <v>4987603.045</v>
      </c>
      <c r="R63" s="5">
        <f t="shared" si="17"/>
        <v>5496133.374</v>
      </c>
      <c r="S63" s="5">
        <f>Q63/E$17</f>
        <v>11079.37678</v>
      </c>
      <c r="T63" s="5">
        <f>E$9-S63</f>
        <v>179.6232203</v>
      </c>
    </row>
    <row r="64" ht="14.25" customHeight="1">
      <c r="B64" s="4" t="s">
        <v>97</v>
      </c>
      <c r="C64" s="5">
        <f>$C$26*F$21</f>
        <v>460020.528</v>
      </c>
      <c r="D64" s="8">
        <v>0.1333330434914928</v>
      </c>
      <c r="E64" s="8">
        <v>0.866664782694703</v>
      </c>
      <c r="F64" s="8">
        <v>0.0</v>
      </c>
      <c r="G64" s="5">
        <f t="shared" si="12"/>
        <v>61335.93707</v>
      </c>
      <c r="H64" s="5">
        <f t="shared" si="13"/>
        <v>398683.5909</v>
      </c>
      <c r="I64" s="5">
        <f t="shared" si="14"/>
        <v>0</v>
      </c>
      <c r="J64" s="5">
        <f>G64*F$14+H64*F$15+I64*F$16</f>
        <v>871752.3395</v>
      </c>
      <c r="K64" s="5">
        <f t="shared" si="15"/>
        <v>460019.528</v>
      </c>
      <c r="L64" s="25">
        <v>22035.0</v>
      </c>
      <c r="M64" s="5">
        <f t="shared" si="16"/>
        <v>893787.3395</v>
      </c>
      <c r="N64" s="5">
        <f>MIN($C$30*F$11,$C$28*F$12*F$11,F$7)</f>
        <v>419682</v>
      </c>
      <c r="O64" s="5">
        <f>N64/Supuestos!$B$14*F$14</f>
        <v>528755.6031</v>
      </c>
      <c r="P64" s="5">
        <f>N64*F$16-O64</f>
        <v>454013.7363</v>
      </c>
      <c r="Q64" s="5">
        <f>4254526*MIN(1,$C$30/22174)</f>
        <v>4254487.653</v>
      </c>
      <c r="R64" s="5">
        <f t="shared" si="17"/>
        <v>4708501.389</v>
      </c>
      <c r="S64" s="5">
        <f>Q64/F$17</f>
        <v>9538.140685</v>
      </c>
      <c r="T64" s="5">
        <f>F$9-S64</f>
        <v>-0.140685444</v>
      </c>
    </row>
    <row r="65" ht="14.25" customHeight="1">
      <c r="B65" s="4" t="s">
        <v>98</v>
      </c>
      <c r="C65" s="5">
        <f>$C$26*G$21</f>
        <v>506853.9432</v>
      </c>
      <c r="D65" s="8">
        <v>0.1285241903980239</v>
      </c>
      <c r="E65" s="8">
        <v>0.8689326709466632</v>
      </c>
      <c r="F65" s="8">
        <v>0.00254313865531297</v>
      </c>
      <c r="G65" s="5">
        <f t="shared" si="12"/>
        <v>65142.9927</v>
      </c>
      <c r="H65" s="5">
        <f t="shared" si="13"/>
        <v>440421.9506</v>
      </c>
      <c r="I65" s="5">
        <f t="shared" si="14"/>
        <v>1288.999856</v>
      </c>
      <c r="J65" s="5">
        <f>G65*G$14+H65*G$15+I65*G$16</f>
        <v>962917.0551</v>
      </c>
      <c r="K65" s="5">
        <f t="shared" si="15"/>
        <v>506853.9432</v>
      </c>
      <c r="L65" s="25">
        <v>30074.0</v>
      </c>
      <c r="M65" s="5">
        <f t="shared" si="16"/>
        <v>992991.0551</v>
      </c>
      <c r="N65" s="5">
        <f>MIN($C$30*G$11,$C$28*G$12*G$11,G$7)</f>
        <v>509997.4032</v>
      </c>
      <c r="O65" s="5">
        <f>N65/Supuestos!$B$14*G$14</f>
        <v>642543.6033</v>
      </c>
      <c r="P65" s="5">
        <f>N65*G$16-O65</f>
        <v>551717.3158</v>
      </c>
      <c r="Q65" s="5">
        <f>2472655*MIN(1,$C$30/22174)</f>
        <v>2472632.713</v>
      </c>
      <c r="R65" s="5">
        <f t="shared" si="17"/>
        <v>3024350.029</v>
      </c>
      <c r="S65" s="5">
        <f>Q65/G$17</f>
        <v>5543.398079</v>
      </c>
      <c r="T65" s="5">
        <f>G$9-S65</f>
        <v>4881.601921</v>
      </c>
    </row>
    <row r="66" ht="14.25" customHeight="1">
      <c r="B66" s="4" t="s">
        <v>99</v>
      </c>
      <c r="C66" s="5">
        <f>$C$26*H$21</f>
        <v>525605.784</v>
      </c>
      <c r="D66" s="8">
        <v>0.1692541561549906</v>
      </c>
      <c r="E66" s="8">
        <v>0.820232265232893</v>
      </c>
      <c r="F66" s="8">
        <v>0.0105135786121163</v>
      </c>
      <c r="G66" s="5">
        <f t="shared" si="12"/>
        <v>88960.96344</v>
      </c>
      <c r="H66" s="5">
        <f t="shared" si="13"/>
        <v>431118.8228</v>
      </c>
      <c r="I66" s="5">
        <f t="shared" si="14"/>
        <v>5525.997729</v>
      </c>
      <c r="J66" s="5">
        <f>G66*H$14+H66*H$15+I66*H$16</f>
        <v>956607.9034</v>
      </c>
      <c r="K66" s="5">
        <f t="shared" si="15"/>
        <v>525605.784</v>
      </c>
      <c r="L66" s="25">
        <v>49957.0</v>
      </c>
      <c r="M66" s="5">
        <f t="shared" si="16"/>
        <v>1006564.903</v>
      </c>
      <c r="N66" s="5">
        <f>MIN($C$30*H$11,$C$28*H$12*H$11,H$7)</f>
        <v>554345.0035</v>
      </c>
      <c r="O66" s="5">
        <f>N66/Supuestos!$B$14*H$14</f>
        <v>680862.7017</v>
      </c>
      <c r="P66" s="5">
        <f>N66*H$16-O66</f>
        <v>581547.1748</v>
      </c>
      <c r="Q66" s="5">
        <f>2398429*MIN(1,$C$30/22174)</f>
        <v>2398407.382</v>
      </c>
      <c r="R66" s="5">
        <f t="shared" si="17"/>
        <v>2979954.557</v>
      </c>
      <c r="S66" s="5">
        <f>Q66/H$17</f>
        <v>5543.399857</v>
      </c>
      <c r="T66" s="5">
        <f>H$9-S66</f>
        <v>5009.600143</v>
      </c>
    </row>
    <row r="67" ht="14.25" customHeight="1">
      <c r="B67" s="4" t="s">
        <v>100</v>
      </c>
      <c r="C67" s="5">
        <f>$C$26*I$21</f>
        <v>503990.3616</v>
      </c>
      <c r="D67" s="8">
        <v>0.1310343459195619</v>
      </c>
      <c r="E67" s="8">
        <v>0.8572650250997044</v>
      </c>
      <c r="F67" s="8">
        <v>0.01170062898073375</v>
      </c>
      <c r="G67" s="5">
        <f t="shared" si="12"/>
        <v>66040.04738</v>
      </c>
      <c r="H67" s="5">
        <f t="shared" si="13"/>
        <v>432053.31</v>
      </c>
      <c r="I67" s="5">
        <f t="shared" si="14"/>
        <v>5897.004231</v>
      </c>
      <c r="J67" s="5">
        <f>G67*I$14+H67*I$15+I67*I$16</f>
        <v>890635.5098</v>
      </c>
      <c r="K67" s="5">
        <f t="shared" si="15"/>
        <v>503990.3616</v>
      </c>
      <c r="L67" s="25">
        <v>46357.0</v>
      </c>
      <c r="M67" s="5">
        <f t="shared" si="16"/>
        <v>936992.5098</v>
      </c>
      <c r="N67" s="5">
        <f>MIN($C$30*I$11,$C$28*I$12*I$11,I$7)</f>
        <v>598692.6038</v>
      </c>
      <c r="O67" s="5">
        <f>N67/Supuestos!$B$14*I$14</f>
        <v>704773.4495</v>
      </c>
      <c r="P67" s="5">
        <f>N67*I$16-O67</f>
        <v>596425.0555</v>
      </c>
      <c r="Q67" s="5">
        <f>2278524*MIN(1,$C$30/22174)</f>
        <v>2278503.463</v>
      </c>
      <c r="R67" s="5">
        <f t="shared" si="17"/>
        <v>2874928.519</v>
      </c>
      <c r="S67" s="5">
        <f>Q67/I$17</f>
        <v>5543.399419</v>
      </c>
      <c r="T67" s="5">
        <f>I$9-S67</f>
        <v>3650.600581</v>
      </c>
    </row>
    <row r="68" ht="14.25" customHeight="1">
      <c r="B68" s="4" t="s">
        <v>101</v>
      </c>
      <c r="C68" s="5">
        <f>$C$26*J$21</f>
        <v>549807.6672</v>
      </c>
      <c r="D68" s="8">
        <v>0.132044277274976</v>
      </c>
      <c r="E68" s="8">
        <v>0.856762724441987</v>
      </c>
      <c r="F68" s="8">
        <v>0.01119117946628641</v>
      </c>
      <c r="G68" s="5">
        <f t="shared" si="12"/>
        <v>72598.95606</v>
      </c>
      <c r="H68" s="5">
        <f t="shared" si="13"/>
        <v>471054.7149</v>
      </c>
      <c r="I68" s="5">
        <f t="shared" si="14"/>
        <v>6152.996276</v>
      </c>
      <c r="J68" s="5">
        <f>G68*J$14+H68*J$15+I68*J$16</f>
        <v>949987.4839</v>
      </c>
      <c r="K68" s="5">
        <f t="shared" si="15"/>
        <v>549806.6672</v>
      </c>
      <c r="L68" s="25">
        <v>47812.0</v>
      </c>
      <c r="M68" s="5">
        <f t="shared" si="16"/>
        <v>997799.4839</v>
      </c>
      <c r="N68" s="5">
        <f>MIN($C$30*J$11,$C$28*J$12*J$11,J$7)</f>
        <v>598692.6038</v>
      </c>
      <c r="O68" s="5">
        <f>N68/Supuestos!$B$14*J$14</f>
        <v>689743.7706</v>
      </c>
      <c r="P68" s="5">
        <f>N68*J$16-O68</f>
        <v>582956.9665</v>
      </c>
      <c r="Q68" s="5">
        <f>2227247*MIN(1,$C$30/22174)</f>
        <v>2227226.925</v>
      </c>
      <c r="R68" s="5">
        <f t="shared" si="17"/>
        <v>2810183.892</v>
      </c>
      <c r="S68" s="5">
        <f>Q68/J$17</f>
        <v>5543.399187</v>
      </c>
      <c r="T68" s="5">
        <f>J$9-S68</f>
        <v>5298.600813</v>
      </c>
    </row>
    <row r="69" ht="14.25" customHeight="1">
      <c r="B69" s="4" t="s">
        <v>102</v>
      </c>
      <c r="C69" s="5">
        <f>$C$26*K$21</f>
        <v>535397.3856</v>
      </c>
      <c r="D69" s="8">
        <v>0.1450755233966571</v>
      </c>
      <c r="E69" s="8">
        <v>0.8436618060990256</v>
      </c>
      <c r="F69" s="8">
        <v>0.01126453827720364</v>
      </c>
      <c r="G69" s="5">
        <f t="shared" si="12"/>
        <v>77673.05594</v>
      </c>
      <c r="H69" s="5">
        <f t="shared" si="13"/>
        <v>451694.3253</v>
      </c>
      <c r="I69" s="5">
        <f t="shared" si="14"/>
        <v>6031.004344</v>
      </c>
      <c r="J69" s="5">
        <f>G69*K$14+H69*K$15+I69*K$16</f>
        <v>920585.235</v>
      </c>
      <c r="K69" s="5">
        <f t="shared" si="15"/>
        <v>535398.3856</v>
      </c>
      <c r="L69" s="25">
        <v>51548.0</v>
      </c>
      <c r="M69" s="5">
        <f t="shared" si="16"/>
        <v>972133.235</v>
      </c>
      <c r="N69" s="5">
        <f>MIN($C$30*K$11,$C$28*K$12*K$11,K$7)</f>
        <v>532171.2033</v>
      </c>
      <c r="O69" s="5">
        <f>N69/Supuestos!$B$14*K$14</f>
        <v>613382.7464</v>
      </c>
      <c r="P69" s="5">
        <f>N69*K$16-O69</f>
        <v>518492.186</v>
      </c>
      <c r="Q69" s="5">
        <f>2228523*MIN(1,$C$30/22174)</f>
        <v>2228502.914</v>
      </c>
      <c r="R69" s="5">
        <f t="shared" si="17"/>
        <v>2746995.1</v>
      </c>
      <c r="S69" s="5">
        <f>Q69/K$17</f>
        <v>5543.401691</v>
      </c>
      <c r="T69" s="5">
        <f>K$9-S69</f>
        <v>5080.598309</v>
      </c>
    </row>
    <row r="70" ht="14.25" customHeight="1">
      <c r="B70" s="4" t="s">
        <v>103</v>
      </c>
      <c r="C70" s="5">
        <f>$C$26*L$21</f>
        <v>654805.6592</v>
      </c>
      <c r="D70" s="8">
        <v>0.1627840917768011</v>
      </c>
      <c r="E70" s="8">
        <v>0.8260232801776404</v>
      </c>
      <c r="F70" s="8">
        <v>0.01119262804555853</v>
      </c>
      <c r="G70" s="5">
        <f t="shared" si="12"/>
        <v>106591.9445</v>
      </c>
      <c r="H70" s="5">
        <f t="shared" si="13"/>
        <v>540884.7185</v>
      </c>
      <c r="I70" s="5">
        <f t="shared" si="14"/>
        <v>7328.996186</v>
      </c>
      <c r="J70" s="5">
        <f>G70*L$14+H70*L$15+I70*L$16</f>
        <v>1118231.32</v>
      </c>
      <c r="K70" s="5">
        <f t="shared" si="15"/>
        <v>654805.6592</v>
      </c>
      <c r="L70" s="25">
        <v>56943.0</v>
      </c>
      <c r="M70" s="5">
        <f t="shared" si="16"/>
        <v>1175174.32</v>
      </c>
      <c r="N70" s="5">
        <f>MIN($C$30*L$11,$C$28*L$12*L$11,L$7)</f>
        <v>576518.8036</v>
      </c>
      <c r="O70" s="5">
        <f>N70/Supuestos!$B$14*L$14</f>
        <v>664858.2995</v>
      </c>
      <c r="P70" s="5">
        <f>N70*L$16-O70</f>
        <v>562031.3665</v>
      </c>
      <c r="Q70" s="5">
        <f>2229908*MIN(1,$C$30/22174)</f>
        <v>2229887.901</v>
      </c>
      <c r="R70" s="5">
        <f t="shared" si="17"/>
        <v>2791919.268</v>
      </c>
      <c r="S70" s="5">
        <f>Q70/L$17</f>
        <v>5543.399546</v>
      </c>
      <c r="T70" s="5">
        <f>L$9-S70</f>
        <v>5654.600454</v>
      </c>
    </row>
    <row r="71" ht="14.25" customHeight="1">
      <c r="B71" s="4" t="s">
        <v>104</v>
      </c>
      <c r="C71" s="5">
        <f>$C$26*M$21</f>
        <v>580106.208</v>
      </c>
      <c r="D71" s="8">
        <v>0.1343771655525025</v>
      </c>
      <c r="E71" s="8">
        <v>0.8640472603282848</v>
      </c>
      <c r="F71" s="8">
        <v>0.001577297942100237</v>
      </c>
      <c r="G71" s="5">
        <f t="shared" si="12"/>
        <v>77953.02795</v>
      </c>
      <c r="H71" s="5">
        <f t="shared" si="13"/>
        <v>501239.1797</v>
      </c>
      <c r="I71" s="5">
        <f t="shared" si="14"/>
        <v>915.0003281</v>
      </c>
      <c r="J71" s="5">
        <f>G71*M$14+H71*M$15+I71*M$16</f>
        <v>1000696.925</v>
      </c>
      <c r="K71" s="5">
        <f t="shared" si="15"/>
        <v>580107.208</v>
      </c>
      <c r="L71" s="25">
        <v>52129.0</v>
      </c>
      <c r="M71" s="5">
        <f t="shared" si="16"/>
        <v>1052825.925</v>
      </c>
      <c r="N71" s="5">
        <f>MIN($C$30*M$11,$C$28*M$12*M$11,M$7)</f>
        <v>509997.4032</v>
      </c>
      <c r="O71" s="5">
        <f>N71/Supuestos!$B$14*M$14</f>
        <v>588090.7556</v>
      </c>
      <c r="P71" s="5">
        <f>N71*M$16-O71</f>
        <v>497183.7185</v>
      </c>
      <c r="Q71" s="5">
        <f>2229798*MIN(1,$C$30/22174)</f>
        <v>2229777.902</v>
      </c>
      <c r="R71" s="5">
        <f t="shared" si="17"/>
        <v>2726961.621</v>
      </c>
      <c r="S71" s="5">
        <f>Q71/M$17</f>
        <v>5543.401706</v>
      </c>
      <c r="T71" s="5">
        <f>M$9-S71</f>
        <v>5788.598294</v>
      </c>
    </row>
    <row r="72" ht="14.25" customHeight="1">
      <c r="B72" s="3" t="s">
        <v>105</v>
      </c>
      <c r="C72" s="10">
        <f>SUM(C60:C71)</f>
        <v>6389820.615</v>
      </c>
      <c r="G72" s="10">
        <f t="shared" ref="G72:K72" si="18">SUM(G60:G71)</f>
        <v>918912.9193</v>
      </c>
      <c r="H72" s="10">
        <f t="shared" si="18"/>
        <v>5437767.697</v>
      </c>
      <c r="I72" s="10">
        <f t="shared" si="18"/>
        <v>33139.99895</v>
      </c>
      <c r="J72" s="10">
        <f t="shared" si="18"/>
        <v>11551327.82</v>
      </c>
      <c r="K72" s="10">
        <f t="shared" si="18"/>
        <v>6389820.615</v>
      </c>
      <c r="M72" s="10">
        <f t="shared" ref="M72:R72" si="19">SUM(M60:M71)</f>
        <v>12005084.82</v>
      </c>
      <c r="N72" s="10">
        <f t="shared" si="19"/>
        <v>6173297.233</v>
      </c>
      <c r="O72" s="10">
        <f t="shared" si="19"/>
        <v>7454353.169</v>
      </c>
      <c r="P72" s="10">
        <f t="shared" si="19"/>
        <v>6360075.167</v>
      </c>
      <c r="Q72" s="10">
        <f t="shared" si="19"/>
        <v>39451222.41</v>
      </c>
      <c r="R72" s="10">
        <f t="shared" si="19"/>
        <v>45811297.58</v>
      </c>
      <c r="S72" s="5">
        <f t="shared" ref="S72:T72" si="20">AVERAGE(S60:S71)</f>
        <v>7622.172361</v>
      </c>
      <c r="T72" s="5">
        <f t="shared" si="20"/>
        <v>3045.410973</v>
      </c>
    </row>
    <row r="73" ht="14.25" customHeight="1">
      <c r="A73" s="29" t="s">
        <v>181</v>
      </c>
    </row>
    <row r="74" ht="14.25" customHeight="1"/>
    <row r="75" ht="14.25" customHeight="1">
      <c r="A75" s="1" t="s">
        <v>182</v>
      </c>
    </row>
    <row r="76" ht="14.25" customHeight="1">
      <c r="B76" s="2" t="s">
        <v>92</v>
      </c>
      <c r="C76" s="2" t="s">
        <v>163</v>
      </c>
      <c r="D76" s="2" t="s">
        <v>164</v>
      </c>
      <c r="E76" s="2" t="s">
        <v>165</v>
      </c>
      <c r="F76" s="2" t="s">
        <v>166</v>
      </c>
      <c r="G76" s="2" t="s">
        <v>167</v>
      </c>
      <c r="H76" s="2" t="s">
        <v>168</v>
      </c>
      <c r="I76" s="2" t="s">
        <v>169</v>
      </c>
      <c r="J76" s="2" t="s">
        <v>170</v>
      </c>
      <c r="K76" s="2" t="s">
        <v>171</v>
      </c>
      <c r="L76" s="2" t="s">
        <v>172</v>
      </c>
      <c r="M76" s="2" t="s">
        <v>173</v>
      </c>
      <c r="N76" s="2" t="s">
        <v>174</v>
      </c>
      <c r="O76" s="2" t="s">
        <v>175</v>
      </c>
      <c r="P76" s="2" t="s">
        <v>176</v>
      </c>
      <c r="Q76" s="2" t="s">
        <v>177</v>
      </c>
      <c r="R76" s="2" t="s">
        <v>178</v>
      </c>
      <c r="S76" s="3" t="s">
        <v>179</v>
      </c>
      <c r="T76" s="3" t="s">
        <v>180</v>
      </c>
    </row>
    <row r="77" ht="14.25" customHeight="1">
      <c r="B77" s="4" t="s">
        <v>93</v>
      </c>
      <c r="C77" s="5">
        <f>$D$26*B$21</f>
        <v>360365.8116</v>
      </c>
      <c r="D77" s="8">
        <v>0.1290327056381568</v>
      </c>
      <c r="E77" s="8">
        <v>0.8709672943618433</v>
      </c>
      <c r="F77" s="8">
        <v>0.0</v>
      </c>
      <c r="G77" s="5">
        <f t="shared" ref="G77:G88" si="21">C77*D77</f>
        <v>46498.97569</v>
      </c>
      <c r="H77" s="5">
        <f t="shared" ref="H77:H88" si="22">C77*E77</f>
        <v>313866.8359</v>
      </c>
      <c r="I77" s="5">
        <f t="shared" ref="I77:I88" si="23">C77*F77</f>
        <v>0</v>
      </c>
      <c r="J77" s="5">
        <f>G77*B$14+H77*B$15+I77*B$16</f>
        <v>664223.8152</v>
      </c>
      <c r="K77" s="5">
        <f t="shared" ref="K77:K88" si="24">G77+H77+I77</f>
        <v>360365.8116</v>
      </c>
      <c r="L77" s="25">
        <v>16705.0</v>
      </c>
      <c r="M77" s="5">
        <f t="shared" ref="M77:M88" si="25">J77+L77*$D$26/2518.35</f>
        <v>680928.8152</v>
      </c>
      <c r="N77" s="5">
        <f>MIN($D$30*B$11,$D$28*B$12*B$11,B$7)</f>
        <v>487823.6031</v>
      </c>
      <c r="O77" s="5">
        <f>N77/Supuestos!$B$14*B$14</f>
        <v>597024.9492</v>
      </c>
      <c r="P77" s="5">
        <f>N77*B$16-O77</f>
        <v>511798.1006</v>
      </c>
      <c r="Q77" s="5">
        <f>4796415*MIN(1,$D$30/22174)</f>
        <v>4796371.769</v>
      </c>
      <c r="R77" s="5">
        <f t="shared" ref="R77:R88" si="26">P77+Q77</f>
        <v>5308169.869</v>
      </c>
      <c r="S77" s="5">
        <f>Q77/B$17</f>
        <v>11086.80081</v>
      </c>
      <c r="T77" s="5">
        <f>B$9-S77</f>
        <v>383.1991851</v>
      </c>
    </row>
    <row r="78" ht="14.25" customHeight="1">
      <c r="B78" s="4" t="s">
        <v>94</v>
      </c>
      <c r="C78" s="5">
        <f>$D$26*C$21</f>
        <v>337257.432</v>
      </c>
      <c r="D78" s="8">
        <v>0.1666681492155834</v>
      </c>
      <c r="E78" s="8">
        <v>0.83333481588225</v>
      </c>
      <c r="F78" s="8">
        <v>0.0</v>
      </c>
      <c r="G78" s="5">
        <f t="shared" si="21"/>
        <v>56210.072</v>
      </c>
      <c r="H78" s="5">
        <f t="shared" si="22"/>
        <v>281048.36</v>
      </c>
      <c r="I78" s="5">
        <f t="shared" si="23"/>
        <v>0</v>
      </c>
      <c r="J78" s="5">
        <f>G78*C$14+H78*C$15+I78*C$16</f>
        <v>624872.161</v>
      </c>
      <c r="K78" s="5">
        <f t="shared" si="24"/>
        <v>337258.432</v>
      </c>
      <c r="L78" s="25">
        <v>16155.0</v>
      </c>
      <c r="M78" s="5">
        <f t="shared" si="25"/>
        <v>641027.161</v>
      </c>
      <c r="N78" s="5">
        <f>MIN($D$30*C$11,$D$28*C$12*C$11,C$7)</f>
        <v>465649.8029</v>
      </c>
      <c r="O78" s="5">
        <f>N78/Supuestos!$B$14*C$14</f>
        <v>581237.6655</v>
      </c>
      <c r="P78" s="5">
        <f>N78*C$16-O78</f>
        <v>500187.4369</v>
      </c>
      <c r="Q78" s="5">
        <f>4910388*MIN(1,$D$30/22174)</f>
        <v>4910343.741</v>
      </c>
      <c r="R78" s="5">
        <f t="shared" si="26"/>
        <v>5410531.178</v>
      </c>
      <c r="S78" s="5">
        <f>Q78/C$17</f>
        <v>11086.80005</v>
      </c>
      <c r="T78" s="5">
        <f>C$9-S78</f>
        <v>618.199952</v>
      </c>
    </row>
    <row r="79" ht="14.25" customHeight="1">
      <c r="B79" s="4" t="s">
        <v>95</v>
      </c>
      <c r="C79" s="5">
        <f>$D$26*D$21</f>
        <v>340380.186</v>
      </c>
      <c r="D79" s="8">
        <v>0.1290322580645161</v>
      </c>
      <c r="E79" s="8">
        <v>0.8709677419354839</v>
      </c>
      <c r="F79" s="8">
        <v>0.0</v>
      </c>
      <c r="G79" s="5">
        <f t="shared" si="21"/>
        <v>43920.024</v>
      </c>
      <c r="H79" s="5">
        <f t="shared" si="22"/>
        <v>296460.162</v>
      </c>
      <c r="I79" s="5">
        <f t="shared" si="23"/>
        <v>0</v>
      </c>
      <c r="J79" s="5">
        <f>G79*D$14+H79*D$15+I79*D$16</f>
        <v>649350.9668</v>
      </c>
      <c r="K79" s="5">
        <f t="shared" si="24"/>
        <v>340380.186</v>
      </c>
      <c r="L79" s="25">
        <v>15779.0</v>
      </c>
      <c r="M79" s="5">
        <f t="shared" si="25"/>
        <v>665129.9668</v>
      </c>
      <c r="N79" s="5">
        <f>MIN($D$30*D$11,$D$28*D$12*D$11,D$7)</f>
        <v>454077</v>
      </c>
      <c r="O79" s="5">
        <f>N79/Supuestos!$B$14*D$14</f>
        <v>573887.1084</v>
      </c>
      <c r="P79" s="5">
        <f>N79*D$16-O79</f>
        <v>495191.7804</v>
      </c>
      <c r="Q79" s="5">
        <f>4437517*MIN(1,$D$30/22174)</f>
        <v>4437477.003</v>
      </c>
      <c r="R79" s="5">
        <f t="shared" si="26"/>
        <v>4932668.784</v>
      </c>
      <c r="S79" s="5">
        <f>Q79/D$17</f>
        <v>9871.150517</v>
      </c>
      <c r="T79" s="5">
        <f>D$9-S79</f>
        <v>-0.1505169555</v>
      </c>
    </row>
    <row r="80" ht="14.25" customHeight="1">
      <c r="B80" s="4" t="s">
        <v>96</v>
      </c>
      <c r="C80" s="5">
        <f>$D$26*E$21</f>
        <v>318520.908</v>
      </c>
      <c r="D80" s="8">
        <v>0.161289208560817</v>
      </c>
      <c r="E80" s="8">
        <v>0.8387107914391829</v>
      </c>
      <c r="F80" s="8">
        <v>0.0</v>
      </c>
      <c r="G80" s="5">
        <f t="shared" si="21"/>
        <v>51373.98516</v>
      </c>
      <c r="H80" s="5">
        <f t="shared" si="22"/>
        <v>267146.9228</v>
      </c>
      <c r="I80" s="5">
        <f t="shared" si="23"/>
        <v>0</v>
      </c>
      <c r="J80" s="5">
        <f>G80*E$14+H80*E$15+I80*E$16</f>
        <v>600197.4501</v>
      </c>
      <c r="K80" s="5">
        <f t="shared" si="24"/>
        <v>318520.908</v>
      </c>
      <c r="L80" s="25">
        <v>14765.0</v>
      </c>
      <c r="M80" s="5">
        <f t="shared" si="25"/>
        <v>614962.4501</v>
      </c>
      <c r="N80" s="5">
        <f>MIN($D$30*E$11,$D$28*E$12*E$11,E$7)</f>
        <v>465649.8029</v>
      </c>
      <c r="O80" s="5">
        <f>N80/Supuestos!$B$14*E$14</f>
        <v>589192.5163</v>
      </c>
      <c r="P80" s="5">
        <f>N80*E$16-O80</f>
        <v>508530.3292</v>
      </c>
      <c r="Q80" s="5">
        <f>4987648*MIN(1,$D$30/22174)</f>
        <v>4987603.045</v>
      </c>
      <c r="R80" s="5">
        <f t="shared" si="26"/>
        <v>5496133.374</v>
      </c>
      <c r="S80" s="5">
        <f>Q80/E$17</f>
        <v>11079.37678</v>
      </c>
      <c r="T80" s="5">
        <f>E$9-S80</f>
        <v>179.6232203</v>
      </c>
    </row>
    <row r="81" ht="14.25" customHeight="1">
      <c r="B81" s="4" t="s">
        <v>97</v>
      </c>
      <c r="C81" s="5">
        <f>$D$26*F$21</f>
        <v>300993.192</v>
      </c>
      <c r="D81" s="8">
        <v>0.1333320043987734</v>
      </c>
      <c r="E81" s="8">
        <v>0.8666679956012266</v>
      </c>
      <c r="F81" s="8">
        <v>0.0</v>
      </c>
      <c r="G81" s="5">
        <f t="shared" si="21"/>
        <v>40132.0256</v>
      </c>
      <c r="H81" s="5">
        <f t="shared" si="22"/>
        <v>260861.1664</v>
      </c>
      <c r="I81" s="5">
        <f t="shared" si="23"/>
        <v>0</v>
      </c>
      <c r="J81" s="5">
        <f>G81*F$14+H81*F$15+I81*F$16</f>
        <v>570392.4483</v>
      </c>
      <c r="K81" s="5">
        <f t="shared" si="24"/>
        <v>300993.192</v>
      </c>
      <c r="L81" s="25">
        <v>14418.0</v>
      </c>
      <c r="M81" s="5">
        <f t="shared" si="25"/>
        <v>584810.4483</v>
      </c>
      <c r="N81" s="5">
        <f>MIN($D$30*F$11,$D$28*F$12*F$11,F$7)</f>
        <v>419682</v>
      </c>
      <c r="O81" s="5">
        <f>N81/Supuestos!$B$14*F$14</f>
        <v>528755.6031</v>
      </c>
      <c r="P81" s="5">
        <f>N81*F$16-O81</f>
        <v>454013.7363</v>
      </c>
      <c r="Q81" s="5">
        <f>4254526*MIN(1,$D$30/22174)</f>
        <v>4254487.653</v>
      </c>
      <c r="R81" s="5">
        <f t="shared" si="26"/>
        <v>4708501.389</v>
      </c>
      <c r="S81" s="5">
        <f>Q81/F$17</f>
        <v>9538.140685</v>
      </c>
      <c r="T81" s="5">
        <f>F$9-S81</f>
        <v>-0.140685444</v>
      </c>
    </row>
    <row r="82" ht="14.25" customHeight="1">
      <c r="B82" s="4" t="s">
        <v>98</v>
      </c>
      <c r="C82" s="5">
        <f>$D$26*G$21</f>
        <v>331636.4748</v>
      </c>
      <c r="D82" s="8">
        <v>0.1285234413634226</v>
      </c>
      <c r="E82" s="8">
        <v>0.8689346150598849</v>
      </c>
      <c r="F82" s="8">
        <v>0.002544958930876021</v>
      </c>
      <c r="G82" s="5">
        <f t="shared" si="21"/>
        <v>42623.06102</v>
      </c>
      <c r="H82" s="5">
        <f t="shared" si="22"/>
        <v>288170.4126</v>
      </c>
      <c r="I82" s="5">
        <f t="shared" si="23"/>
        <v>844.0012083</v>
      </c>
      <c r="J82" s="5">
        <f>G82*G$14+H82*G$15+I82*G$16</f>
        <v>630042.7173</v>
      </c>
      <c r="K82" s="5">
        <f t="shared" si="24"/>
        <v>331637.4748</v>
      </c>
      <c r="L82" s="25">
        <v>21952.0</v>
      </c>
      <c r="M82" s="5">
        <f t="shared" si="25"/>
        <v>651994.7173</v>
      </c>
      <c r="N82" s="5">
        <f>MIN($D$30*G$11,$D$28*G$12*G$11,G$7)</f>
        <v>509997.4032</v>
      </c>
      <c r="O82" s="5">
        <f>N82/Supuestos!$B$14*G$14</f>
        <v>642543.6033</v>
      </c>
      <c r="P82" s="5">
        <f>N82*G$16-O82</f>
        <v>551717.3158</v>
      </c>
      <c r="Q82" s="5">
        <f>2472655*MIN(1,$D$30/22174)</f>
        <v>2472632.713</v>
      </c>
      <c r="R82" s="5">
        <f t="shared" si="26"/>
        <v>3024350.029</v>
      </c>
      <c r="S82" s="5">
        <f>Q82/G$17</f>
        <v>5543.398079</v>
      </c>
      <c r="T82" s="5">
        <f>G$9-S82</f>
        <v>4881.601921</v>
      </c>
    </row>
    <row r="83" ht="14.25" customHeight="1">
      <c r="B83" s="4" t="s">
        <v>99</v>
      </c>
      <c r="C83" s="5">
        <f>$D$26*H$21</f>
        <v>343905.876</v>
      </c>
      <c r="D83" s="8">
        <v>0.1692526446180061</v>
      </c>
      <c r="E83" s="8">
        <v>0.820232854326473</v>
      </c>
      <c r="F83" s="8">
        <v>0.01051450105552099</v>
      </c>
      <c r="G83" s="5">
        <f t="shared" si="21"/>
        <v>58206.97901</v>
      </c>
      <c r="H83" s="5">
        <f t="shared" si="22"/>
        <v>282082.8983</v>
      </c>
      <c r="I83" s="5">
        <f t="shared" si="23"/>
        <v>3615.998696</v>
      </c>
      <c r="J83" s="5">
        <f>G83*H$14+H83*H$15+I83*H$16</f>
        <v>625912.716</v>
      </c>
      <c r="K83" s="5">
        <f t="shared" si="24"/>
        <v>343905.876</v>
      </c>
      <c r="L83" s="25">
        <v>32687.0</v>
      </c>
      <c r="M83" s="5">
        <f t="shared" si="25"/>
        <v>658599.716</v>
      </c>
      <c r="N83" s="5">
        <f>MIN($D$30*H$11,$D$28*H$12*H$11,H$7)</f>
        <v>554345.0035</v>
      </c>
      <c r="O83" s="5">
        <f>N83/Supuestos!$B$14*H$14</f>
        <v>680862.7017</v>
      </c>
      <c r="P83" s="5">
        <f>N83*H$16-O83</f>
        <v>581547.1748</v>
      </c>
      <c r="Q83" s="5">
        <f>2398429*MIN(1,$D$30/22174)</f>
        <v>2398407.382</v>
      </c>
      <c r="R83" s="5">
        <f t="shared" si="26"/>
        <v>2979954.557</v>
      </c>
      <c r="S83" s="5">
        <f>Q83/H$17</f>
        <v>5543.399857</v>
      </c>
      <c r="T83" s="5">
        <f>H$9-S83</f>
        <v>5009.600143</v>
      </c>
    </row>
    <row r="84" ht="14.25" customHeight="1">
      <c r="B84" s="4" t="s">
        <v>100</v>
      </c>
      <c r="C84" s="5">
        <f>$D$26*I$21</f>
        <v>329762.8224</v>
      </c>
      <c r="D84" s="8">
        <v>0.1310334998165349</v>
      </c>
      <c r="E84" s="8">
        <v>0.8572641563789752</v>
      </c>
      <c r="F84" s="8">
        <v>0.01169931132358694</v>
      </c>
      <c r="G84" s="5">
        <f t="shared" si="21"/>
        <v>43209.97673</v>
      </c>
      <c r="H84" s="5">
        <f t="shared" si="22"/>
        <v>282693.8477</v>
      </c>
      <c r="I84" s="5">
        <f t="shared" si="23"/>
        <v>3857.997922</v>
      </c>
      <c r="J84" s="5">
        <f>G84*I$14+H84*I$15+I84*I$16</f>
        <v>582744.4304</v>
      </c>
      <c r="K84" s="5">
        <f t="shared" si="24"/>
        <v>329761.8224</v>
      </c>
      <c r="L84" s="25">
        <v>30331.0</v>
      </c>
      <c r="M84" s="5">
        <f t="shared" si="25"/>
        <v>613075.4304</v>
      </c>
      <c r="N84" s="5">
        <f>MIN($D$30*I$11,$D$28*I$12*I$11,I$7)</f>
        <v>598692.6038</v>
      </c>
      <c r="O84" s="5">
        <f>N84/Supuestos!$B$14*I$14</f>
        <v>704773.4495</v>
      </c>
      <c r="P84" s="5">
        <f>N84*I$16-O84</f>
        <v>596425.0555</v>
      </c>
      <c r="Q84" s="5">
        <f>2278524*MIN(1,$D$30/22174)</f>
        <v>2278503.463</v>
      </c>
      <c r="R84" s="5">
        <f t="shared" si="26"/>
        <v>2874928.519</v>
      </c>
      <c r="S84" s="5">
        <f>Q84/I$17</f>
        <v>5543.399419</v>
      </c>
      <c r="T84" s="5">
        <f>I$9-S84</f>
        <v>3650.600581</v>
      </c>
    </row>
    <row r="85" ht="14.25" customHeight="1">
      <c r="B85" s="4" t="s">
        <v>101</v>
      </c>
      <c r="C85" s="5">
        <f>$D$26*J$21</f>
        <v>359741.2608</v>
      </c>
      <c r="D85" s="8">
        <v>0.1320449990409767</v>
      </c>
      <c r="E85" s="8">
        <v>0.8567636160459886</v>
      </c>
      <c r="F85" s="8">
        <v>0.01119138491303466</v>
      </c>
      <c r="G85" s="5">
        <f t="shared" si="21"/>
        <v>47502.03444</v>
      </c>
      <c r="H85" s="5">
        <f t="shared" si="22"/>
        <v>308213.2234</v>
      </c>
      <c r="I85" s="5">
        <f t="shared" si="23"/>
        <v>4026.002919</v>
      </c>
      <c r="J85" s="5">
        <f>G85*J$14+H85*J$15+I85*J$16</f>
        <v>621581.4739</v>
      </c>
      <c r="K85" s="5">
        <f t="shared" si="24"/>
        <v>359741.2608</v>
      </c>
      <c r="L85" s="25">
        <v>31284.0</v>
      </c>
      <c r="M85" s="5">
        <f t="shared" si="25"/>
        <v>652865.4739</v>
      </c>
      <c r="N85" s="5">
        <f>MIN($D$30*J$11,$D$28*J$12*J$11,J$7)</f>
        <v>598692.6038</v>
      </c>
      <c r="O85" s="5">
        <f>N85/Supuestos!$B$14*J$14</f>
        <v>689743.7706</v>
      </c>
      <c r="P85" s="5">
        <f>N85*J$16-O85</f>
        <v>582956.9665</v>
      </c>
      <c r="Q85" s="5">
        <f>2227247*MIN(1,$D$30/22174)</f>
        <v>2227226.925</v>
      </c>
      <c r="R85" s="5">
        <f t="shared" si="26"/>
        <v>2810183.892</v>
      </c>
      <c r="S85" s="5">
        <f>Q85/J$17</f>
        <v>5543.399187</v>
      </c>
      <c r="T85" s="5">
        <f>J$9-S85</f>
        <v>5298.600813</v>
      </c>
    </row>
    <row r="86" ht="14.25" customHeight="1">
      <c r="B86" s="4" t="s">
        <v>102</v>
      </c>
      <c r="C86" s="5">
        <f>$D$26*K$21</f>
        <v>350312.5584</v>
      </c>
      <c r="D86" s="8">
        <v>0.1450731203238247</v>
      </c>
      <c r="E86" s="8">
        <v>0.8436598127959853</v>
      </c>
      <c r="F86" s="8">
        <v>0.01126421229015195</v>
      </c>
      <c r="G86" s="5">
        <f t="shared" si="21"/>
        <v>50820.93594</v>
      </c>
      <c r="H86" s="5">
        <f t="shared" si="22"/>
        <v>295544.6274</v>
      </c>
      <c r="I86" s="5">
        <f t="shared" si="23"/>
        <v>3945.995026</v>
      </c>
      <c r="J86" s="5">
        <f>G86*K$14+H86*K$15+I86*K$16</f>
        <v>602339.9976</v>
      </c>
      <c r="K86" s="5">
        <f t="shared" si="24"/>
        <v>350311.5584</v>
      </c>
      <c r="L86" s="25">
        <v>33728.0</v>
      </c>
      <c r="M86" s="5">
        <f t="shared" si="25"/>
        <v>636067.9976</v>
      </c>
      <c r="N86" s="5">
        <f>MIN($D$30*K$11,$D$28*K$12*K$11,K$7)</f>
        <v>532171.2033</v>
      </c>
      <c r="O86" s="5">
        <f>N86/Supuestos!$B$14*K$14</f>
        <v>613382.7464</v>
      </c>
      <c r="P86" s="5">
        <f>N86*K$16-O86</f>
        <v>518492.186</v>
      </c>
      <c r="Q86" s="5">
        <f>2228523*MIN(1,$D$30/22174)</f>
        <v>2228502.914</v>
      </c>
      <c r="R86" s="5">
        <f t="shared" si="26"/>
        <v>2746995.1</v>
      </c>
      <c r="S86" s="5">
        <f>Q86/K$17</f>
        <v>5543.401691</v>
      </c>
      <c r="T86" s="5">
        <f>K$9-S86</f>
        <v>5080.598309</v>
      </c>
    </row>
    <row r="87" ht="14.25" customHeight="1">
      <c r="B87" s="4" t="s">
        <v>103</v>
      </c>
      <c r="C87" s="5">
        <f>$D$26*L$21</f>
        <v>428441.8488</v>
      </c>
      <c r="D87" s="8">
        <v>0.1627851611186578</v>
      </c>
      <c r="E87" s="8">
        <v>0.8260231256506132</v>
      </c>
      <c r="F87" s="8">
        <v>0.01119171323072901</v>
      </c>
      <c r="G87" s="5">
        <f t="shared" si="21"/>
        <v>69743.97539</v>
      </c>
      <c r="H87" s="5">
        <f t="shared" si="22"/>
        <v>353902.8751</v>
      </c>
      <c r="I87" s="5">
        <f t="shared" si="23"/>
        <v>4794.998308</v>
      </c>
      <c r="J87" s="5">
        <f>G87*L$14+H87*L$15+I87*L$16</f>
        <v>731662.5849</v>
      </c>
      <c r="K87" s="5">
        <f t="shared" si="24"/>
        <v>428441.8488</v>
      </c>
      <c r="L87" s="25">
        <v>37258.0</v>
      </c>
      <c r="M87" s="5">
        <f t="shared" si="25"/>
        <v>768920.5849</v>
      </c>
      <c r="N87" s="5">
        <f>MIN($D$30*L$11,$D$28*L$12*L$11,L$7)</f>
        <v>576518.8036</v>
      </c>
      <c r="O87" s="5">
        <f>N87/Supuestos!$B$14*L$14</f>
        <v>664858.2995</v>
      </c>
      <c r="P87" s="5">
        <f>N87*L$16-O87</f>
        <v>562031.3665</v>
      </c>
      <c r="Q87" s="5">
        <f>2229908*MIN(1,$D$30/22174)</f>
        <v>2229887.901</v>
      </c>
      <c r="R87" s="5">
        <f t="shared" si="26"/>
        <v>2791919.268</v>
      </c>
      <c r="S87" s="5">
        <f>Q87/L$17</f>
        <v>5543.399546</v>
      </c>
      <c r="T87" s="5">
        <f>L$9-S87</f>
        <v>5654.600454</v>
      </c>
    </row>
    <row r="88" ht="14.25" customHeight="1">
      <c r="B88" s="4" t="s">
        <v>104</v>
      </c>
      <c r="C88" s="5">
        <f>$D$26*M$21</f>
        <v>379565.712</v>
      </c>
      <c r="D88" s="8">
        <v>0.1343771570688629</v>
      </c>
      <c r="E88" s="8">
        <v>0.8640447247645996</v>
      </c>
      <c r="F88" s="8">
        <v>0.001578118166537572</v>
      </c>
      <c r="G88" s="5">
        <f t="shared" si="21"/>
        <v>51004.9613</v>
      </c>
      <c r="H88" s="5">
        <f t="shared" si="22"/>
        <v>327961.7512</v>
      </c>
      <c r="I88" s="5">
        <f t="shared" si="23"/>
        <v>598.9995455</v>
      </c>
      <c r="J88" s="5">
        <f>G88*M$14+H88*M$15+I88*M$16</f>
        <v>654758.735</v>
      </c>
      <c r="K88" s="5">
        <f t="shared" si="24"/>
        <v>379565.712</v>
      </c>
      <c r="L88" s="25">
        <v>34108.0</v>
      </c>
      <c r="M88" s="5">
        <f t="shared" si="25"/>
        <v>688866.735</v>
      </c>
      <c r="N88" s="5">
        <f>MIN($D$30*M$11,$D$28*M$12*M$11,M$7)</f>
        <v>509997.4032</v>
      </c>
      <c r="O88" s="5">
        <f>N88/Supuestos!$B$14*M$14</f>
        <v>588090.7556</v>
      </c>
      <c r="P88" s="5">
        <f>N88*M$16-O88</f>
        <v>497183.7185</v>
      </c>
      <c r="Q88" s="5">
        <f>2229798*MIN(1,$D$30/22174)</f>
        <v>2229777.902</v>
      </c>
      <c r="R88" s="5">
        <f t="shared" si="26"/>
        <v>2726961.621</v>
      </c>
      <c r="S88" s="5">
        <f>Q88/M$17</f>
        <v>5543.401706</v>
      </c>
      <c r="T88" s="5">
        <f>M$9-S88</f>
        <v>5788.598294</v>
      </c>
    </row>
    <row r="89" ht="14.25" customHeight="1">
      <c r="B89" s="3" t="s">
        <v>105</v>
      </c>
      <c r="C89" s="10">
        <f>SUM(C77:C88)</f>
        <v>4180884.083</v>
      </c>
      <c r="G89" s="10">
        <f t="shared" ref="G89:K89" si="27">SUM(G77:G88)</f>
        <v>601247.0063</v>
      </c>
      <c r="H89" s="10">
        <f t="shared" si="27"/>
        <v>3557953.083</v>
      </c>
      <c r="I89" s="10">
        <f t="shared" si="27"/>
        <v>21683.99362</v>
      </c>
      <c r="J89" s="10">
        <f t="shared" si="27"/>
        <v>7558079.497</v>
      </c>
      <c r="K89" s="10">
        <f t="shared" si="27"/>
        <v>4180884.083</v>
      </c>
      <c r="M89" s="10">
        <f t="shared" ref="M89:R89" si="28">SUM(M77:M88)</f>
        <v>7857249.497</v>
      </c>
      <c r="N89" s="10">
        <f t="shared" si="28"/>
        <v>6173297.233</v>
      </c>
      <c r="O89" s="10">
        <f t="shared" si="28"/>
        <v>7454353.169</v>
      </c>
      <c r="P89" s="10">
        <f t="shared" si="28"/>
        <v>6360075.167</v>
      </c>
      <c r="Q89" s="10">
        <f t="shared" si="28"/>
        <v>39451222.41</v>
      </c>
      <c r="R89" s="10">
        <f t="shared" si="28"/>
        <v>45811297.58</v>
      </c>
      <c r="S89" s="5">
        <f t="shared" ref="S89:T89" si="29">AVERAGE(S77:S88)</f>
        <v>7622.172361</v>
      </c>
      <c r="T89" s="5">
        <f t="shared" si="29"/>
        <v>3045.410973</v>
      </c>
    </row>
    <row r="90" ht="14.25" customHeight="1"/>
    <row r="91" ht="14.25" customHeight="1"/>
    <row r="92" ht="14.25" customHeight="1">
      <c r="A92" s="1" t="s">
        <v>183</v>
      </c>
    </row>
    <row r="93" ht="14.25" customHeight="1">
      <c r="B93" s="2" t="s">
        <v>184</v>
      </c>
      <c r="C93" s="2" t="s">
        <v>185</v>
      </c>
      <c r="D93" s="2" t="s">
        <v>186</v>
      </c>
      <c r="E93" s="2" t="s">
        <v>187</v>
      </c>
      <c r="F93" s="2" t="s">
        <v>188</v>
      </c>
      <c r="G93" s="2" t="s">
        <v>189</v>
      </c>
      <c r="H93" s="2" t="s">
        <v>190</v>
      </c>
      <c r="I93" s="2" t="s">
        <v>191</v>
      </c>
      <c r="J93" s="2" t="s">
        <v>192</v>
      </c>
      <c r="K93" s="2" t="s">
        <v>193</v>
      </c>
      <c r="L93" s="2" t="s">
        <v>194</v>
      </c>
      <c r="M93" s="2" t="s">
        <v>195</v>
      </c>
      <c r="N93" s="2" t="s">
        <v>196</v>
      </c>
      <c r="O93" s="2" t="s">
        <v>197</v>
      </c>
      <c r="P93" s="2" t="s">
        <v>198</v>
      </c>
    </row>
    <row r="94" ht="14.25" customHeight="1">
      <c r="B94" s="4" t="s">
        <v>199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5">
        <f>-$C$34</f>
        <v>-43906326.75</v>
      </c>
      <c r="N94" s="5">
        <f>-$C$36</f>
        <v>-115842636</v>
      </c>
      <c r="O94" s="5">
        <f t="shared" ref="O94:P94" si="30">M94</f>
        <v>-43906326.75</v>
      </c>
      <c r="P94" s="5">
        <f t="shared" si="30"/>
        <v>-115842636</v>
      </c>
    </row>
    <row r="95" ht="14.25" customHeight="1">
      <c r="B95" s="19">
        <f>Supuestos!$B$25+1-1</f>
        <v>2026</v>
      </c>
      <c r="C95" s="5">
        <f>$C$39*(1+Supuestos!$B$9)^(1-1)</f>
        <v>259914222.7</v>
      </c>
      <c r="D95" s="5">
        <f>IF(B95&lt;=Supuestos!$B$26,$C$38*(1+Supuestos!$B$9)^(1-1),0)</f>
        <v>57664105.66</v>
      </c>
      <c r="E95" s="5">
        <f t="shared" ref="E95:E114" si="32">C95-D95</f>
        <v>202250117</v>
      </c>
      <c r="F95" s="5">
        <f>$C$43*(1+Supuestos!$B$9)^(1-1)*(1-Supuestos!$B$11)^(1-1)</f>
        <v>12005084.82</v>
      </c>
      <c r="G95" s="5">
        <f>$C$44*(1+Supuestos!$B$9)^(1-1)*(1-Supuestos!$B$12)^(1-1)</f>
        <v>38176081.32</v>
      </c>
      <c r="H95" s="5">
        <f>IF(1&lt;=Supuestos!$B$18,$C$42*$C$31*(1+Supuestos!$B$10)^(1-1)*(1-Supuestos!$B$11)^(1-1),0)</f>
        <v>7058195.852</v>
      </c>
      <c r="I95" s="5">
        <f>IF(1&lt;=Supuestos!$B$19,G95*$C$32,0)</f>
        <v>19088040.66</v>
      </c>
      <c r="J95" s="10">
        <f t="shared" ref="J95:J114" si="33">F95+G95-H95-I95</f>
        <v>24034929.63</v>
      </c>
      <c r="K95" s="5">
        <f t="shared" ref="K95:K114" si="34">K94+J95</f>
        <v>24034929.63</v>
      </c>
      <c r="L95" s="8">
        <f t="shared" ref="L95:L114" si="35">IF(E95&gt;0,J95/E95,0)</f>
        <v>0.118837655</v>
      </c>
      <c r="M95" s="5">
        <f>IF(1&lt;=Supuestos!$B$18,H95-Supuestos!$B$22*$C$26*(1+Supuestos!$B$9)^(1-1),0)</f>
        <v>5865036.852</v>
      </c>
      <c r="N95" s="5">
        <f>IF(1&lt;=Supuestos!$B$19,I95-Supuestos!$B$23*$C$29*(1+Supuestos!$B$9)^(1-1),0)</f>
        <v>14844720.66</v>
      </c>
      <c r="O95" s="5">
        <f t="shared" ref="O95:P95" si="31">O94+M95</f>
        <v>-38041289.9</v>
      </c>
      <c r="P95" s="5">
        <f t="shared" si="31"/>
        <v>-100997915.3</v>
      </c>
    </row>
    <row r="96" ht="14.25" customHeight="1">
      <c r="B96" s="19">
        <f>Supuestos!$B$25+2-1</f>
        <v>2027</v>
      </c>
      <c r="C96" s="5">
        <f>$C$39*(1+Supuestos!$B$9)^(2-1)</f>
        <v>272909933.8</v>
      </c>
      <c r="D96" s="5">
        <f>IF(B96&lt;=Supuestos!$B$26,$C$38*(1+Supuestos!$B$9)^(2-1),0)</f>
        <v>60547310.94</v>
      </c>
      <c r="E96" s="5">
        <f t="shared" si="32"/>
        <v>212362622.9</v>
      </c>
      <c r="F96" s="5">
        <f>$C$43*(1+Supuestos!$B$9)^(2-1)*(1-Supuestos!$B$11)^(2-1)</f>
        <v>12542312.37</v>
      </c>
      <c r="G96" s="5">
        <f>$C$44*(1+Supuestos!$B$9)^(2-1)*(1-Supuestos!$B$12)^(2-1)</f>
        <v>39583824.31</v>
      </c>
      <c r="H96" s="5">
        <f>IF(2&lt;=Supuestos!$B$18,$C$42*$C$31*(1+Supuestos!$B$10)^(2-1)*(1-Supuestos!$B$11)^(2-1),0)</f>
        <v>7374050.116</v>
      </c>
      <c r="I96" s="5">
        <f>IF(2&lt;=Supuestos!$B$19,G96*$C$32,0)</f>
        <v>19791912.16</v>
      </c>
      <c r="J96" s="10">
        <f t="shared" si="33"/>
        <v>24960174.41</v>
      </c>
      <c r="K96" s="5">
        <f t="shared" si="34"/>
        <v>48995104.04</v>
      </c>
      <c r="L96" s="8">
        <f t="shared" si="35"/>
        <v>0.1175356288</v>
      </c>
      <c r="M96" s="5">
        <f>IF(2&lt;=Supuestos!$B$18,H96-Supuestos!$B$22*$C$26*(1+Supuestos!$B$9)^(2-1),0)</f>
        <v>6121233.166</v>
      </c>
      <c r="N96" s="5">
        <f>IF(2&lt;=Supuestos!$B$19,I96-Supuestos!$B$23*$C$29*(1+Supuestos!$B$9)^(2-1),0)</f>
        <v>15336426.16</v>
      </c>
      <c r="O96" s="5">
        <f t="shared" ref="O96:P96" si="36">O95+M96</f>
        <v>-31920056.73</v>
      </c>
      <c r="P96" s="5">
        <f t="shared" si="36"/>
        <v>-85661489.19</v>
      </c>
    </row>
    <row r="97" ht="14.25" customHeight="1">
      <c r="B97" s="19">
        <f>Supuestos!$B$25+3-1</f>
        <v>2028</v>
      </c>
      <c r="C97" s="5">
        <f>$C$39*(1+Supuestos!$B$9)^(3-1)</f>
        <v>286555430.5</v>
      </c>
      <c r="D97" s="5">
        <f>IF(B97&lt;=Supuestos!$B$26,$C$38*(1+Supuestos!$B$9)^(3-1),0)</f>
        <v>63574676.49</v>
      </c>
      <c r="E97" s="5">
        <f t="shared" si="32"/>
        <v>222980754</v>
      </c>
      <c r="F97" s="5">
        <f>$C$43*(1+Supuestos!$B$9)^(3-1)*(1-Supuestos!$B$11)^(3-1)</f>
        <v>13103580.85</v>
      </c>
      <c r="G97" s="5">
        <f>$C$44*(1+Supuestos!$B$9)^(3-1)*(1-Supuestos!$B$12)^(3-1)</f>
        <v>41043477.84</v>
      </c>
      <c r="H97" s="5">
        <f>IF(3&lt;=Supuestos!$B$18,$C$42*$C$31*(1+Supuestos!$B$10)^(3-1)*(1-Supuestos!$B$11)^(3-1),0)</f>
        <v>7704038.859</v>
      </c>
      <c r="I97" s="5">
        <f>IF(3&lt;=Supuestos!$B$19,G97*$C$32,0)</f>
        <v>20521738.92</v>
      </c>
      <c r="J97" s="10">
        <f t="shared" si="33"/>
        <v>25921280.91</v>
      </c>
      <c r="K97" s="5">
        <f t="shared" si="34"/>
        <v>74916384.95</v>
      </c>
      <c r="L97" s="8">
        <f t="shared" si="35"/>
        <v>0.1162489607</v>
      </c>
      <c r="M97" s="5">
        <f>IF(3&lt;=Supuestos!$B$18,H97-Supuestos!$B$22*$C$26*(1+Supuestos!$B$9)^(3-1),0)</f>
        <v>6388581.061</v>
      </c>
      <c r="N97" s="5">
        <f>IF(3&lt;=Supuestos!$B$19,I97-Supuestos!$B$23*$C$29*(1+Supuestos!$B$9)^(3-1),0)</f>
        <v>15843478.62</v>
      </c>
      <c r="O97" s="5">
        <f t="shared" ref="O97:P97" si="37">O96+M97</f>
        <v>-25531475.67</v>
      </c>
      <c r="P97" s="5">
        <f t="shared" si="37"/>
        <v>-69818010.57</v>
      </c>
    </row>
    <row r="98" ht="14.25" customHeight="1">
      <c r="B98" s="19">
        <f>Supuestos!$B$25+4-1</f>
        <v>2029</v>
      </c>
      <c r="C98" s="5">
        <f>$C$39*(1+Supuestos!$B$9)^(4-1)</f>
        <v>300883202</v>
      </c>
      <c r="D98" s="5">
        <f>IF(B98&lt;=Supuestos!$B$26,$C$38*(1+Supuestos!$B$9)^(4-1),0)</f>
        <v>66753410.31</v>
      </c>
      <c r="E98" s="5">
        <f t="shared" si="32"/>
        <v>234129791.7</v>
      </c>
      <c r="F98" s="5">
        <f>$C$43*(1+Supuestos!$B$9)^(4-1)*(1-Supuestos!$B$11)^(4-1)</f>
        <v>13689966.09</v>
      </c>
      <c r="G98" s="5">
        <f>$C$44*(1+Supuestos!$B$9)^(4-1)*(1-Supuestos!$B$12)^(4-1)</f>
        <v>42556956.08</v>
      </c>
      <c r="H98" s="5">
        <f>IF(4&lt;=Supuestos!$B$18,$C$42*$C$31*(1+Supuestos!$B$10)^(4-1)*(1-Supuestos!$B$11)^(4-1),0)</f>
        <v>8048794.598</v>
      </c>
      <c r="I98" s="5">
        <f>IF(4&lt;=Supuestos!$B$19,G98*$C$32,0)</f>
        <v>21278478.04</v>
      </c>
      <c r="J98" s="10">
        <f t="shared" si="33"/>
        <v>26919649.53</v>
      </c>
      <c r="K98" s="5">
        <f t="shared" si="34"/>
        <v>101836034.5</v>
      </c>
      <c r="L98" s="8">
        <f t="shared" si="35"/>
        <v>0.1149774633</v>
      </c>
      <c r="M98" s="5">
        <f>IF(4&lt;=Supuestos!$B$18,H98-Supuestos!$B$22*$C$26*(1+Supuestos!$B$9)^(4-1),0)</f>
        <v>6667563.91</v>
      </c>
      <c r="N98" s="5">
        <f>IF(4&lt;=Supuestos!$B$19,I98-Supuestos!$B$23*$C$29*(1+Supuestos!$B$9)^(4-1),0)</f>
        <v>16366304.73</v>
      </c>
      <c r="O98" s="5">
        <f t="shared" ref="O98:P98" si="38">O97+M98</f>
        <v>-18863911.76</v>
      </c>
      <c r="P98" s="5">
        <f t="shared" si="38"/>
        <v>-53451705.84</v>
      </c>
    </row>
    <row r="99" ht="14.25" customHeight="1">
      <c r="B99" s="19">
        <f>Supuestos!$B$25+5-1</f>
        <v>2030</v>
      </c>
      <c r="C99" s="5">
        <f>$C$39*(1+Supuestos!$B$9)^(5-1)</f>
        <v>315927362.1</v>
      </c>
      <c r="D99" s="5">
        <f>IF(B99&lt;=Supuestos!$B$26,$C$38*(1+Supuestos!$B$9)^(5-1),0)</f>
        <v>70091080.83</v>
      </c>
      <c r="E99" s="5">
        <f t="shared" si="32"/>
        <v>245836281.3</v>
      </c>
      <c r="F99" s="5">
        <f>$C$43*(1+Supuestos!$B$9)^(5-1)*(1-Supuestos!$B$11)^(5-1)</f>
        <v>14302592.07</v>
      </c>
      <c r="G99" s="5">
        <f>$C$44*(1+Supuestos!$B$9)^(5-1)*(1-Supuestos!$B$12)^(5-1)</f>
        <v>44126243.84</v>
      </c>
      <c r="H99" s="5">
        <f>IF(5&lt;=Supuestos!$B$18,$C$42*$C$31*(1+Supuestos!$B$10)^(5-1)*(1-Supuestos!$B$11)^(5-1),0)</f>
        <v>8408978.156</v>
      </c>
      <c r="I99" s="5">
        <f>IF(5&lt;=Supuestos!$B$19,G99*$C$32,0)</f>
        <v>22063121.92</v>
      </c>
      <c r="J99" s="10">
        <f t="shared" si="33"/>
        <v>27956735.84</v>
      </c>
      <c r="K99" s="5">
        <f t="shared" si="34"/>
        <v>129792770.3</v>
      </c>
      <c r="L99" s="8">
        <f t="shared" si="35"/>
        <v>0.1137209516</v>
      </c>
      <c r="M99" s="5">
        <f>IF(5&lt;=Supuestos!$B$18,H99-Supuestos!$B$22*$C$26*(1+Supuestos!$B$9)^(5-1),0)</f>
        <v>6958685.934</v>
      </c>
      <c r="N99" s="5">
        <f>IF(5&lt;=Supuestos!$B$19,I99-Supuestos!$B$23*$C$29*(1+Supuestos!$B$9)^(5-1),0)</f>
        <v>16905339.94</v>
      </c>
      <c r="O99" s="5">
        <f t="shared" ref="O99:P99" si="39">O98+M99</f>
        <v>-11905225.83</v>
      </c>
      <c r="P99" s="5">
        <f t="shared" si="39"/>
        <v>-36546365.91</v>
      </c>
    </row>
    <row r="100" ht="14.25" customHeight="1">
      <c r="B100" s="19">
        <f>Supuestos!$B$25+6-1</f>
        <v>2031</v>
      </c>
      <c r="C100" s="5">
        <f>$C$39*(1+Supuestos!$B$9)^(6-1)</f>
        <v>331723730.2</v>
      </c>
      <c r="D100" s="5">
        <f>IF(B100&lt;=Supuestos!$B$26,$C$38*(1+Supuestos!$B$9)^(6-1),0)</f>
        <v>73595634.87</v>
      </c>
      <c r="E100" s="5">
        <f t="shared" si="32"/>
        <v>258128095.3</v>
      </c>
      <c r="F100" s="5">
        <f>$C$43*(1+Supuestos!$B$9)^(6-1)*(1-Supuestos!$B$11)^(6-1)</f>
        <v>14942633.07</v>
      </c>
      <c r="G100" s="5">
        <f>$C$44*(1+Supuestos!$B$9)^(6-1)*(1-Supuestos!$B$12)^(6-1)</f>
        <v>45753399.08</v>
      </c>
      <c r="H100" s="5">
        <f>IF(6&lt;=Supuestos!$B$18,$C$42*$C$31*(1+Supuestos!$B$10)^(6-1)*(1-Supuestos!$B$11)^(6-1),0)</f>
        <v>8785279.928</v>
      </c>
      <c r="I100" s="5">
        <f>IF(6&lt;=Supuestos!$B$19,G100*$C$32,0)</f>
        <v>22876699.54</v>
      </c>
      <c r="J100" s="10">
        <f t="shared" si="33"/>
        <v>29034052.68</v>
      </c>
      <c r="K100" s="5">
        <f t="shared" si="34"/>
        <v>158826823</v>
      </c>
      <c r="L100" s="8">
        <f t="shared" si="35"/>
        <v>0.1124792427</v>
      </c>
      <c r="M100" s="5">
        <f>IF(6&lt;=Supuestos!$B$18,H100-Supuestos!$B$22*$C$26*(1+Supuestos!$B$9)^(6-1),0)</f>
        <v>7262473.095</v>
      </c>
      <c r="N100" s="5">
        <f>IF(6&lt;=Supuestos!$B$19,I100-Supuestos!$B$23*$C$29*(1+Supuestos!$B$9)^(6-1),0)</f>
        <v>17461028.46</v>
      </c>
      <c r="O100" s="5">
        <f t="shared" ref="O100:P100" si="40">O99+M100</f>
        <v>-4642752.732</v>
      </c>
      <c r="P100" s="5">
        <f t="shared" si="40"/>
        <v>-19085337.45</v>
      </c>
    </row>
    <row r="101" ht="14.25" customHeight="1">
      <c r="B101" s="19">
        <f>Supuestos!$B$25+7-1</f>
        <v>2032</v>
      </c>
      <c r="C101" s="5">
        <f>$C$39*(1+Supuestos!$B$9)^(7-1)</f>
        <v>348309916.7</v>
      </c>
      <c r="D101" s="5">
        <f>IF(B101&lt;=Supuestos!$B$26,$C$38*(1+Supuestos!$B$9)^(7-1),0)</f>
        <v>77275416.61</v>
      </c>
      <c r="E101" s="5">
        <f t="shared" si="32"/>
        <v>271034500.1</v>
      </c>
      <c r="F101" s="5">
        <f>$C$43*(1+Supuestos!$B$9)^(7-1)*(1-Supuestos!$B$11)^(7-1)</f>
        <v>15611315.9</v>
      </c>
      <c r="G101" s="5">
        <f>$C$44*(1+Supuestos!$B$9)^(7-1)*(1-Supuestos!$B$12)^(7-1)</f>
        <v>47440555.67</v>
      </c>
      <c r="H101" s="5">
        <f>IF(7&lt;=Supuestos!$B$18,$C$42*$C$31*(1+Supuestos!$B$10)^(7-1)*(1-Supuestos!$B$11)^(7-1),0)</f>
        <v>9178421.205</v>
      </c>
      <c r="I101" s="5">
        <f>IF(7&lt;=Supuestos!$B$19,G101*$C$32,0)</f>
        <v>23720277.83</v>
      </c>
      <c r="J101" s="10">
        <f t="shared" si="33"/>
        <v>30153172.53</v>
      </c>
      <c r="K101" s="5">
        <f t="shared" si="34"/>
        <v>188979995.5</v>
      </c>
      <c r="L101" s="8">
        <f t="shared" si="35"/>
        <v>0.1112521562</v>
      </c>
      <c r="M101" s="5">
        <f>IF(7&lt;=Supuestos!$B$18,H101-Supuestos!$B$22*$C$26*(1+Supuestos!$B$9)^(7-1),0)</f>
        <v>7579474.031</v>
      </c>
      <c r="N101" s="5">
        <f>IF(7&lt;=Supuestos!$B$19,I101-Supuestos!$B$23*$C$29*(1+Supuestos!$B$9)^(7-1),0)</f>
        <v>18033823.2</v>
      </c>
      <c r="O101" s="5">
        <f t="shared" ref="O101:P101" si="41">O100+M101</f>
        <v>2936721.299</v>
      </c>
      <c r="P101" s="5">
        <f t="shared" si="41"/>
        <v>-1051514.246</v>
      </c>
    </row>
    <row r="102" ht="14.25" customHeight="1">
      <c r="B102" s="19">
        <f>Supuestos!$B$25+8-1</f>
        <v>2033</v>
      </c>
      <c r="C102" s="5">
        <f>$C$39*(1+Supuestos!$B$9)^(8-1)</f>
        <v>365725412.6</v>
      </c>
      <c r="D102" s="5">
        <f>IF(B102&lt;=Supuestos!$B$26,$C$38*(1+Supuestos!$B$9)^(8-1),0)</f>
        <v>0</v>
      </c>
      <c r="E102" s="5">
        <f t="shared" si="32"/>
        <v>365725412.6</v>
      </c>
      <c r="F102" s="5">
        <f>$C$43*(1+Supuestos!$B$9)^(8-1)*(1-Supuestos!$B$11)^(8-1)</f>
        <v>16309922.29</v>
      </c>
      <c r="G102" s="5">
        <f>$C$44*(1+Supuestos!$B$9)^(8-1)*(1-Supuestos!$B$12)^(8-1)</f>
        <v>49189926.16</v>
      </c>
      <c r="H102" s="5">
        <f>IF(8&lt;=Supuestos!$B$18,$C$42*$C$31*(1+Supuestos!$B$10)^(8-1)*(1-Supuestos!$B$11)^(8-1),0)</f>
        <v>9589155.554</v>
      </c>
      <c r="I102" s="5">
        <f>IF(8&lt;=Supuestos!$B$19,G102*$C$32,0)</f>
        <v>24594963.08</v>
      </c>
      <c r="J102" s="10">
        <f t="shared" si="33"/>
        <v>31315729.81</v>
      </c>
      <c r="K102" s="5">
        <f t="shared" si="34"/>
        <v>220295725.3</v>
      </c>
      <c r="L102" s="8">
        <f t="shared" si="35"/>
        <v>0.08562634352</v>
      </c>
      <c r="M102" s="5">
        <f>IF(8&lt;=Supuestos!$B$18,H102-Supuestos!$B$22*$C$26*(1+Supuestos!$B$9)^(8-1),0)</f>
        <v>7910261.021</v>
      </c>
      <c r="N102" s="5">
        <f>IF(8&lt;=Supuestos!$B$19,I102-Supuestos!$B$23*$C$29*(1+Supuestos!$B$9)^(8-1),0)</f>
        <v>18624185.71</v>
      </c>
      <c r="O102" s="5">
        <f t="shared" ref="O102:P102" si="42">O101+M102</f>
        <v>10846982.32</v>
      </c>
      <c r="P102" s="5">
        <f t="shared" si="42"/>
        <v>17572671.47</v>
      </c>
    </row>
    <row r="103" ht="14.25" customHeight="1">
      <c r="B103" s="19">
        <f>Supuestos!$B$25+9-1</f>
        <v>2034</v>
      </c>
      <c r="C103" s="5">
        <f>$C$39*(1+Supuestos!$B$9)^(9-1)</f>
        <v>384011683.2</v>
      </c>
      <c r="D103" s="5">
        <f>IF(B103&lt;=Supuestos!$B$26,$C$38*(1+Supuestos!$B$9)^(9-1),0)</f>
        <v>0</v>
      </c>
      <c r="E103" s="5">
        <f t="shared" si="32"/>
        <v>384011683.2</v>
      </c>
      <c r="F103" s="5">
        <f>$C$43*(1+Supuestos!$B$9)^(9-1)*(1-Supuestos!$B$11)^(9-1)</f>
        <v>17039791.31</v>
      </c>
      <c r="G103" s="5">
        <f>$C$44*(1+Supuestos!$B$9)^(9-1)*(1-Supuestos!$B$12)^(9-1)</f>
        <v>51003804.69</v>
      </c>
      <c r="H103" s="5">
        <f>IF(9&lt;=Supuestos!$B$18,$C$42*$C$31*(1+Supuestos!$B$10)^(9-1)*(1-Supuestos!$B$11)^(9-1),0)</f>
        <v>10018270.26</v>
      </c>
      <c r="I103" s="5">
        <f>IF(9&lt;=Supuestos!$B$19,G103*$C$32,0)</f>
        <v>25501902.34</v>
      </c>
      <c r="J103" s="10">
        <f t="shared" si="33"/>
        <v>32523423.39</v>
      </c>
      <c r="K103" s="5">
        <f t="shared" si="34"/>
        <v>252819148.7</v>
      </c>
      <c r="L103" s="8">
        <f t="shared" si="35"/>
        <v>0.08469383826</v>
      </c>
      <c r="M103" s="5">
        <f>IF(9&lt;=Supuestos!$B$18,H103-Supuestos!$B$22*$C$26*(1+Supuestos!$B$9)^(9-1),0)</f>
        <v>8255431.005</v>
      </c>
      <c r="N103" s="5">
        <f>IF(9&lt;=Supuestos!$B$19,I103-Supuestos!$B$23*$C$29*(1+Supuestos!$B$9)^(9-1),0)</f>
        <v>19232586.11</v>
      </c>
      <c r="O103" s="5">
        <f t="shared" ref="O103:P103" si="43">O102+M103</f>
        <v>19102413.32</v>
      </c>
      <c r="P103" s="5">
        <f t="shared" si="43"/>
        <v>36805257.58</v>
      </c>
    </row>
    <row r="104" ht="14.25" customHeight="1">
      <c r="B104" s="19">
        <f>Supuestos!$B$25+10-1</f>
        <v>2035</v>
      </c>
      <c r="C104" s="5">
        <f>$C$39*(1+Supuestos!$B$9)^(10-1)</f>
        <v>403212267.3</v>
      </c>
      <c r="D104" s="5">
        <f>IF(B104&lt;=Supuestos!$B$26,$C$38*(1+Supuestos!$B$9)^(10-1),0)</f>
        <v>0</v>
      </c>
      <c r="E104" s="5">
        <f t="shared" si="32"/>
        <v>403212267.3</v>
      </c>
      <c r="F104" s="5">
        <f>$C$43*(1+Supuestos!$B$9)^(10-1)*(1-Supuestos!$B$11)^(10-1)</f>
        <v>17802321.97</v>
      </c>
      <c r="G104" s="5">
        <f>$C$44*(1+Supuestos!$B$9)^(10-1)*(1-Supuestos!$B$12)^(10-1)</f>
        <v>52884569.98</v>
      </c>
      <c r="H104" s="5">
        <f>IF(10&lt;=Supuestos!$B$18,$C$42*$C$31*(1+Supuestos!$B$10)^(10-1)*(1-Supuestos!$B$11)^(10-1),0)</f>
        <v>10466587.86</v>
      </c>
      <c r="I104" s="5">
        <f>IF(10&lt;=Supuestos!$B$19,G104*$C$32,0)</f>
        <v>26442284.99</v>
      </c>
      <c r="J104" s="10">
        <f t="shared" si="33"/>
        <v>33778019.1</v>
      </c>
      <c r="K104" s="5">
        <f t="shared" si="34"/>
        <v>286597167.8</v>
      </c>
      <c r="L104" s="8">
        <f t="shared" si="35"/>
        <v>0.08377230019</v>
      </c>
      <c r="M104" s="5">
        <f>IF(10&lt;=Supuestos!$B$18,H104-Supuestos!$B$22*$C$26*(1+Supuestos!$B$9)^(10-1),0)</f>
        <v>8615606.636</v>
      </c>
      <c r="N104" s="5">
        <f>IF(10&lt;=Supuestos!$B$19,I104-Supuestos!$B$23*$C$29*(1+Supuestos!$B$9)^(10-1),0)</f>
        <v>19859502.95</v>
      </c>
      <c r="O104" s="5">
        <f t="shared" ref="O104:P104" si="44">O103+M104</f>
        <v>27718019.96</v>
      </c>
      <c r="P104" s="5">
        <f t="shared" si="44"/>
        <v>56664760.52</v>
      </c>
    </row>
    <row r="105" ht="14.25" customHeight="1">
      <c r="B105" s="19">
        <f>Supuestos!$B$25+11-1</f>
        <v>2036</v>
      </c>
      <c r="C105" s="5">
        <f>$C$39*(1+Supuestos!$B$9)^(11-1)</f>
        <v>423372880.7</v>
      </c>
      <c r="D105" s="5">
        <f>IF(B105&lt;=Supuestos!$B$26,$C$38*(1+Supuestos!$B$9)^(11-1),0)</f>
        <v>0</v>
      </c>
      <c r="E105" s="5">
        <f t="shared" si="32"/>
        <v>423372880.7</v>
      </c>
      <c r="F105" s="5">
        <f>$C$43*(1+Supuestos!$B$9)^(11-1)*(1-Supuestos!$B$11)^(11-1)</f>
        <v>18598975.88</v>
      </c>
      <c r="G105" s="5">
        <f>$C$44*(1+Supuestos!$B$9)^(11-1)*(1-Supuestos!$B$12)^(11-1)</f>
        <v>54834688.5</v>
      </c>
      <c r="H105" s="5">
        <f>IF(11&lt;=Supuestos!$B$18,$C$42*$C$31*(1+Supuestos!$B$10)^(11-1)*(1-Supuestos!$B$11)^(11-1),0)</f>
        <v>10934967.67</v>
      </c>
      <c r="I105" s="5">
        <f>IF(11&lt;=Supuestos!$B$19,G105*$C$32,0)</f>
        <v>27417344.25</v>
      </c>
      <c r="J105" s="10">
        <f t="shared" si="33"/>
        <v>35081352.46</v>
      </c>
      <c r="K105" s="5">
        <f t="shared" si="34"/>
        <v>321678520.3</v>
      </c>
      <c r="L105" s="8">
        <f t="shared" si="35"/>
        <v>0.08286159568</v>
      </c>
      <c r="M105" s="5">
        <f>IF(11&lt;=Supuestos!$B$18,H105-Supuestos!$B$22*$C$26*(1+Supuestos!$B$9)^(11-1),0)</f>
        <v>8991437.382</v>
      </c>
      <c r="N105" s="5">
        <f>IF(11&lt;=Supuestos!$B$19,I105-Supuestos!$B$23*$C$29*(1+Supuestos!$B$9)^(11-1),0)</f>
        <v>20505423.1</v>
      </c>
      <c r="O105" s="5">
        <f t="shared" ref="O105:P105" si="45">O104+M105</f>
        <v>36709457.34</v>
      </c>
      <c r="P105" s="5">
        <f t="shared" si="45"/>
        <v>77170183.63</v>
      </c>
    </row>
    <row r="106" ht="14.25" customHeight="1">
      <c r="B106" s="19">
        <f>Supuestos!$B$25+12-1</f>
        <v>2037</v>
      </c>
      <c r="C106" s="5">
        <f>$C$39*(1+Supuestos!$B$9)^(12-1)</f>
        <v>444541524.7</v>
      </c>
      <c r="D106" s="5">
        <f>IF(B106&lt;=Supuestos!$B$26,$C$38*(1+Supuestos!$B$9)^(12-1),0)</f>
        <v>0</v>
      </c>
      <c r="E106" s="5">
        <f t="shared" si="32"/>
        <v>444541524.7</v>
      </c>
      <c r="F106" s="5">
        <f>$C$43*(1+Supuestos!$B$9)^(12-1)*(1-Supuestos!$B$11)^(12-1)</f>
        <v>19431280.05</v>
      </c>
      <c r="G106" s="5">
        <f>$C$44*(1+Supuestos!$B$9)^(12-1)*(1-Supuestos!$B$12)^(12-1)</f>
        <v>56856717.64</v>
      </c>
      <c r="H106" s="5">
        <f>IF(12&lt;=Supuestos!$B$18,$C$42*$C$31*(1+Supuestos!$B$10)^(12-1)*(1-Supuestos!$B$11)^(12-1),0)</f>
        <v>11424307.47</v>
      </c>
      <c r="I106" s="5">
        <f>IF(12&lt;=Supuestos!$B$19,G106*$C$32,0)</f>
        <v>28428358.82</v>
      </c>
      <c r="J106" s="10">
        <f t="shared" si="33"/>
        <v>36435331.4</v>
      </c>
      <c r="K106" s="5">
        <f t="shared" si="34"/>
        <v>358113851.7</v>
      </c>
      <c r="L106" s="8">
        <f t="shared" si="35"/>
        <v>0.08196159272</v>
      </c>
      <c r="M106" s="5">
        <f>IF(12&lt;=Supuestos!$B$18,H106-Supuestos!$B$22*$C$26*(1+Supuestos!$B$9)^(12-1),0)</f>
        <v>9383600.671</v>
      </c>
      <c r="N106" s="5">
        <f>IF(12&lt;=Supuestos!$B$19,I106-Supuestos!$B$23*$C$29*(1+Supuestos!$B$9)^(12-1),0)</f>
        <v>21170841.62</v>
      </c>
      <c r="O106" s="5">
        <f t="shared" ref="O106:P106" si="46">O105+M106</f>
        <v>46093058.01</v>
      </c>
      <c r="P106" s="5">
        <f t="shared" si="46"/>
        <v>98341025.24</v>
      </c>
    </row>
    <row r="107" ht="14.25" customHeight="1">
      <c r="B107" s="19">
        <f>Supuestos!$B$25+13-1</f>
        <v>2038</v>
      </c>
      <c r="C107" s="5">
        <f>$C$39*(1+Supuestos!$B$9)^(13-1)</f>
        <v>466768601</v>
      </c>
      <c r="D107" s="5">
        <f>IF(B107&lt;=Supuestos!$B$26,$C$38*(1+Supuestos!$B$9)^(13-1),0)</f>
        <v>0</v>
      </c>
      <c r="E107" s="5">
        <f t="shared" si="32"/>
        <v>466768601</v>
      </c>
      <c r="F107" s="5">
        <f>$C$43*(1+Supuestos!$B$9)^(13-1)*(1-Supuestos!$B$11)^(13-1)</f>
        <v>20300829.83</v>
      </c>
      <c r="G107" s="5">
        <f>$C$44*(1+Supuestos!$B$9)^(13-1)*(1-Supuestos!$B$12)^(13-1)</f>
        <v>58953309.1</v>
      </c>
      <c r="H107" s="5">
        <f>IF(13&lt;=Supuestos!$B$18,$C$42*$C$31*(1+Supuestos!$B$10)^(13-1)*(1-Supuestos!$B$11)^(13-1),0)</f>
        <v>11935545.23</v>
      </c>
      <c r="I107" s="5">
        <f>IF(13&lt;=Supuestos!$B$19,G107*$C$32,0)</f>
        <v>29476654.55</v>
      </c>
      <c r="J107" s="10">
        <f t="shared" si="33"/>
        <v>37841939.15</v>
      </c>
      <c r="K107" s="5">
        <f t="shared" si="34"/>
        <v>395955790.8</v>
      </c>
      <c r="L107" s="8">
        <f t="shared" si="35"/>
        <v>0.08107216097</v>
      </c>
      <c r="M107" s="5">
        <f>IF(13&lt;=Supuestos!$B$18,H107-Supuestos!$B$22*$C$26*(1+Supuestos!$B$9)^(13-1),0)</f>
        <v>9792803.09</v>
      </c>
      <c r="N107" s="5">
        <f>IF(13&lt;=Supuestos!$B$19,I107-Supuestos!$B$23*$C$29*(1+Supuestos!$B$9)^(13-1),0)</f>
        <v>21856261.49</v>
      </c>
      <c r="O107" s="5">
        <f t="shared" ref="O107:P107" si="47">O106+M107</f>
        <v>55885861.1</v>
      </c>
      <c r="P107" s="5">
        <f t="shared" si="47"/>
        <v>120197286.7</v>
      </c>
    </row>
    <row r="108" ht="14.25" customHeight="1">
      <c r="B108" s="19">
        <f>Supuestos!$B$25+14-1</f>
        <v>2039</v>
      </c>
      <c r="C108" s="5">
        <f>$C$39*(1+Supuestos!$B$9)^(14-1)</f>
        <v>490107031</v>
      </c>
      <c r="D108" s="5">
        <f>IF(B108&lt;=Supuestos!$B$26,$C$38*(1+Supuestos!$B$9)^(14-1),0)</f>
        <v>0</v>
      </c>
      <c r="E108" s="5">
        <f t="shared" si="32"/>
        <v>490107031</v>
      </c>
      <c r="F108" s="5">
        <f>$C$43*(1+Supuestos!$B$9)^(14-1)*(1-Supuestos!$B$11)^(14-1)</f>
        <v>21209291.96</v>
      </c>
      <c r="G108" s="5">
        <f>$C$44*(1+Supuestos!$B$9)^(14-1)*(1-Supuestos!$B$12)^(14-1)</f>
        <v>61127212.38</v>
      </c>
      <c r="H108" s="5">
        <f>IF(14&lt;=Supuestos!$B$18,$C$42*$C$31*(1+Supuestos!$B$10)^(14-1)*(1-Supuestos!$B$11)^(14-1),0)</f>
        <v>12469660.88</v>
      </c>
      <c r="I108" s="5">
        <f>IF(14&lt;=Supuestos!$B$19,G108*$C$32,0)</f>
        <v>30563606.19</v>
      </c>
      <c r="J108" s="10">
        <f t="shared" si="33"/>
        <v>39303237.28</v>
      </c>
      <c r="K108" s="5">
        <f t="shared" si="34"/>
        <v>435259028.1</v>
      </c>
      <c r="L108" s="8">
        <f t="shared" si="35"/>
        <v>0.08019317167</v>
      </c>
      <c r="M108" s="5">
        <f>IF(14&lt;=Supuestos!$B$18,H108-Supuestos!$B$22*$C$26*(1+Supuestos!$B$9)^(14-1),0)</f>
        <v>10219781.63</v>
      </c>
      <c r="N108" s="5">
        <f>IF(14&lt;=Supuestos!$B$19,I108-Supuestos!$B$23*$C$29*(1+Supuestos!$B$9)^(14-1),0)</f>
        <v>22562193.47</v>
      </c>
      <c r="O108" s="5">
        <f t="shared" ref="O108:P108" si="48">O107+M108</f>
        <v>66105642.74</v>
      </c>
      <c r="P108" s="5">
        <f t="shared" si="48"/>
        <v>142759480.2</v>
      </c>
    </row>
    <row r="109" ht="14.25" customHeight="1">
      <c r="B109" s="19">
        <f>Supuestos!$B$25+15-1</f>
        <v>2040</v>
      </c>
      <c r="C109" s="5">
        <f>$C$39*(1+Supuestos!$B$9)^(15-1)</f>
        <v>514612382.6</v>
      </c>
      <c r="D109" s="5">
        <f>IF(B109&lt;=Supuestos!$B$26,$C$38*(1+Supuestos!$B$9)^(15-1),0)</f>
        <v>0</v>
      </c>
      <c r="E109" s="5">
        <f t="shared" si="32"/>
        <v>514612382.6</v>
      </c>
      <c r="F109" s="5">
        <f>$C$43*(1+Supuestos!$B$9)^(15-1)*(1-Supuestos!$B$11)^(15-1)</f>
        <v>22158407.78</v>
      </c>
      <c r="G109" s="5">
        <f>$C$44*(1+Supuestos!$B$9)^(15-1)*(1-Supuestos!$B$12)^(15-1)</f>
        <v>63381278.33</v>
      </c>
      <c r="H109" s="5">
        <f>IF(15&lt;=Supuestos!$B$18,$C$42*$C$31*(1+Supuestos!$B$10)^(15-1)*(1-Supuestos!$B$11)^(15-1),0)</f>
        <v>13027678.2</v>
      </c>
      <c r="I109" s="5">
        <f>IF(15&lt;=Supuestos!$B$19,G109*$C$32,0)</f>
        <v>31690639.17</v>
      </c>
      <c r="J109" s="10">
        <f t="shared" si="33"/>
        <v>40821368.74</v>
      </c>
      <c r="K109" s="5">
        <f t="shared" si="34"/>
        <v>476080396.9</v>
      </c>
      <c r="L109" s="8">
        <f t="shared" si="35"/>
        <v>0.07932449767</v>
      </c>
      <c r="M109" s="5">
        <f>IF(15&lt;=Supuestos!$B$18,H109-Supuestos!$B$22*$C$26*(1+Supuestos!$B$9)^(15-1),0)</f>
        <v>10665304.99</v>
      </c>
      <c r="N109" s="5">
        <f>IF(15&lt;=Supuestos!$B$19,I109-Supuestos!$B$23*$C$29*(1+Supuestos!$B$9)^(15-1),0)</f>
        <v>23289155.81</v>
      </c>
      <c r="O109" s="5">
        <f t="shared" ref="O109:P109" si="49">O108+M109</f>
        <v>76770947.73</v>
      </c>
      <c r="P109" s="5">
        <f t="shared" si="49"/>
        <v>166048636</v>
      </c>
    </row>
    <row r="110" ht="14.25" customHeight="1">
      <c r="B110" s="19">
        <f>Supuestos!$B$25+16-1</f>
        <v>2041</v>
      </c>
      <c r="C110" s="5">
        <f>$C$39*(1+Supuestos!$B$9)^(16-1)</f>
        <v>540343001.7</v>
      </c>
      <c r="D110" s="5">
        <f>IF(B110&lt;=Supuestos!$B$26,$C$38*(1+Supuestos!$B$9)^(16-1),0)</f>
        <v>0</v>
      </c>
      <c r="E110" s="5">
        <f t="shared" si="32"/>
        <v>540343001.7</v>
      </c>
      <c r="F110" s="5">
        <f>$C$43*(1+Supuestos!$B$9)^(16-1)*(1-Supuestos!$B$11)^(16-1)</f>
        <v>23149996.53</v>
      </c>
      <c r="G110" s="5">
        <f>$C$44*(1+Supuestos!$B$9)^(16-1)*(1-Supuestos!$B$12)^(16-1)</f>
        <v>65718462.97</v>
      </c>
      <c r="H110" s="5">
        <f>IF(16&lt;=Supuestos!$B$18,$C$42*$C$31*(1+Supuestos!$B$10)^(16-1)*(1-Supuestos!$B$11)^(16-1),0)</f>
        <v>0</v>
      </c>
      <c r="I110" s="5">
        <f>IF(16&lt;=Supuestos!$B$19,G110*$C$32,0)</f>
        <v>0</v>
      </c>
      <c r="J110" s="10">
        <f t="shared" si="33"/>
        <v>88868459.5</v>
      </c>
      <c r="K110" s="5">
        <f t="shared" si="34"/>
        <v>564948856.4</v>
      </c>
      <c r="L110" s="8">
        <f t="shared" si="35"/>
        <v>0.1644667539</v>
      </c>
      <c r="M110" s="5">
        <f>IF(16&lt;=Supuestos!$B$18,H110-Supuestos!$B$22*$C$26*(1+Supuestos!$B$9)^(16-1),0)</f>
        <v>0</v>
      </c>
      <c r="N110" s="5">
        <f>IF(16&lt;=Supuestos!$B$19,I110-Supuestos!$B$23*$C$29*(1+Supuestos!$B$9)^(16-1),0)</f>
        <v>0</v>
      </c>
      <c r="O110" s="5">
        <f t="shared" ref="O110:P110" si="50">O109+M110</f>
        <v>76770947.73</v>
      </c>
      <c r="P110" s="5">
        <f t="shared" si="50"/>
        <v>166048636</v>
      </c>
    </row>
    <row r="111" ht="14.25" customHeight="1">
      <c r="B111" s="19">
        <f>Supuestos!$B$25+17-1</f>
        <v>2042</v>
      </c>
      <c r="C111" s="5">
        <f>$C$39*(1+Supuestos!$B$9)^(17-1)</f>
        <v>567360151.8</v>
      </c>
      <c r="D111" s="5">
        <f>IF(B111&lt;=Supuestos!$B$26,$C$38*(1+Supuestos!$B$9)^(17-1),0)</f>
        <v>0</v>
      </c>
      <c r="E111" s="5">
        <f t="shared" si="32"/>
        <v>567360151.8</v>
      </c>
      <c r="F111" s="5">
        <f>$C$43*(1+Supuestos!$B$9)^(17-1)*(1-Supuestos!$B$11)^(17-1)</f>
        <v>24185958.87</v>
      </c>
      <c r="G111" s="5">
        <f>$C$44*(1+Supuestos!$B$9)^(17-1)*(1-Supuestos!$B$12)^(17-1)</f>
        <v>68141831.29</v>
      </c>
      <c r="H111" s="5">
        <f>IF(17&lt;=Supuestos!$B$18,$C$42*$C$31*(1+Supuestos!$B$10)^(17-1)*(1-Supuestos!$B$11)^(17-1),0)</f>
        <v>0</v>
      </c>
      <c r="I111" s="5">
        <f>IF(17&lt;=Supuestos!$B$19,G111*$C$32,0)</f>
        <v>0</v>
      </c>
      <c r="J111" s="10">
        <f t="shared" si="33"/>
        <v>92327790.17</v>
      </c>
      <c r="K111" s="5">
        <f t="shared" si="34"/>
        <v>657276646.5</v>
      </c>
      <c r="L111" s="8">
        <f t="shared" si="35"/>
        <v>0.1627322431</v>
      </c>
      <c r="M111" s="5">
        <f>IF(17&lt;=Supuestos!$B$18,H111-Supuestos!$B$22*$C$26*(1+Supuestos!$B$9)^(17-1),0)</f>
        <v>0</v>
      </c>
      <c r="N111" s="5">
        <f>IF(17&lt;=Supuestos!$B$19,I111-Supuestos!$B$23*$C$29*(1+Supuestos!$B$9)^(17-1),0)</f>
        <v>0</v>
      </c>
      <c r="O111" s="5">
        <f t="shared" ref="O111:P111" si="51">O110+M111</f>
        <v>76770947.73</v>
      </c>
      <c r="P111" s="5">
        <f t="shared" si="51"/>
        <v>166048636</v>
      </c>
    </row>
    <row r="112" ht="14.25" customHeight="1">
      <c r="B112" s="19">
        <f>Supuestos!$B$25+18-1</f>
        <v>2043</v>
      </c>
      <c r="C112" s="5">
        <f>$C$39*(1+Supuestos!$B$9)^(18-1)</f>
        <v>595728159.4</v>
      </c>
      <c r="D112" s="5">
        <f>IF(B112&lt;=Supuestos!$B$26,$C$38*(1+Supuestos!$B$9)^(18-1),0)</f>
        <v>0</v>
      </c>
      <c r="E112" s="5">
        <f t="shared" si="32"/>
        <v>595728159.4</v>
      </c>
      <c r="F112" s="5">
        <f>$C$43*(1+Supuestos!$B$9)^(18-1)*(1-Supuestos!$B$11)^(18-1)</f>
        <v>25268280.53</v>
      </c>
      <c r="G112" s="5">
        <f>$C$44*(1+Supuestos!$B$9)^(18-1)*(1-Supuestos!$B$12)^(18-1)</f>
        <v>70654561.32</v>
      </c>
      <c r="H112" s="5">
        <f>IF(18&lt;=Supuestos!$B$18,$C$42*$C$31*(1+Supuestos!$B$10)^(18-1)*(1-Supuestos!$B$11)^(18-1),0)</f>
        <v>0</v>
      </c>
      <c r="I112" s="5">
        <f>IF(18&lt;=Supuestos!$B$19,G112*$C$32,0)</f>
        <v>0</v>
      </c>
      <c r="J112" s="10">
        <f t="shared" si="33"/>
        <v>95922841.85</v>
      </c>
      <c r="K112" s="5">
        <f t="shared" si="34"/>
        <v>753199488.4</v>
      </c>
      <c r="L112" s="8">
        <f t="shared" si="35"/>
        <v>0.1610178071</v>
      </c>
      <c r="M112" s="5">
        <f>IF(18&lt;=Supuestos!$B$18,H112-Supuestos!$B$22*$C$26*(1+Supuestos!$B$9)^(18-1),0)</f>
        <v>0</v>
      </c>
      <c r="N112" s="5">
        <f>IF(18&lt;=Supuestos!$B$19,I112-Supuestos!$B$23*$C$29*(1+Supuestos!$B$9)^(18-1),0)</f>
        <v>0</v>
      </c>
      <c r="O112" s="5">
        <f t="shared" ref="O112:P112" si="52">O111+M112</f>
        <v>76770947.73</v>
      </c>
      <c r="P112" s="5">
        <f t="shared" si="52"/>
        <v>166048636</v>
      </c>
    </row>
    <row r="113" ht="14.25" customHeight="1">
      <c r="B113" s="19">
        <f>Supuestos!$B$25+19-1</f>
        <v>2044</v>
      </c>
      <c r="C113" s="5">
        <f>$C$39*(1+Supuestos!$B$9)^(19-1)</f>
        <v>625514567.4</v>
      </c>
      <c r="D113" s="5">
        <f>IF(B113&lt;=Supuestos!$B$26,$C$38*(1+Supuestos!$B$9)^(19-1),0)</f>
        <v>0</v>
      </c>
      <c r="E113" s="5">
        <f t="shared" si="32"/>
        <v>625514567.4</v>
      </c>
      <c r="F113" s="5">
        <f>$C$43*(1+Supuestos!$B$9)^(19-1)*(1-Supuestos!$B$11)^(19-1)</f>
        <v>26399036.09</v>
      </c>
      <c r="G113" s="5">
        <f>$C$44*(1+Supuestos!$B$9)^(19-1)*(1-Supuestos!$B$12)^(19-1)</f>
        <v>73259948.27</v>
      </c>
      <c r="H113" s="5">
        <f>IF(19&lt;=Supuestos!$B$18,$C$42*$C$31*(1+Supuestos!$B$10)^(19-1)*(1-Supuestos!$B$11)^(19-1),0)</f>
        <v>0</v>
      </c>
      <c r="I113" s="5">
        <f>IF(19&lt;=Supuestos!$B$19,G113*$C$32,0)</f>
        <v>0</v>
      </c>
      <c r="J113" s="10">
        <f t="shared" si="33"/>
        <v>99658984.36</v>
      </c>
      <c r="K113" s="5">
        <f t="shared" si="34"/>
        <v>852858472.7</v>
      </c>
      <c r="L113" s="8">
        <f t="shared" si="35"/>
        <v>0.1593232029</v>
      </c>
      <c r="M113" s="5">
        <f>IF(19&lt;=Supuestos!$B$18,H113-Supuestos!$B$22*$C$26*(1+Supuestos!$B$9)^(19-1),0)</f>
        <v>0</v>
      </c>
      <c r="N113" s="5">
        <f>IF(19&lt;=Supuestos!$B$19,I113-Supuestos!$B$23*$C$29*(1+Supuestos!$B$9)^(19-1),0)</f>
        <v>0</v>
      </c>
      <c r="O113" s="5">
        <f t="shared" ref="O113:P113" si="53">O112+M113</f>
        <v>76770947.73</v>
      </c>
      <c r="P113" s="5">
        <f t="shared" si="53"/>
        <v>166048636</v>
      </c>
    </row>
    <row r="114" ht="14.25" customHeight="1">
      <c r="B114" s="19">
        <f>Supuestos!$B$25+20-1</f>
        <v>2045</v>
      </c>
      <c r="C114" s="5">
        <f>$C$39*(1+Supuestos!$B$9)^(20-1)</f>
        <v>656790295.7</v>
      </c>
      <c r="D114" s="5">
        <f>IF(B114&lt;=Supuestos!$B$26,$C$38*(1+Supuestos!$B$9)^(20-1),0)</f>
        <v>0</v>
      </c>
      <c r="E114" s="5">
        <f t="shared" si="32"/>
        <v>656790295.7</v>
      </c>
      <c r="F114" s="5">
        <f>$C$43*(1+Supuestos!$B$9)^(20-1)*(1-Supuestos!$B$11)^(20-1)</f>
        <v>27580392.95</v>
      </c>
      <c r="G114" s="5">
        <f>$C$44*(1+Supuestos!$B$9)^(20-1)*(1-Supuestos!$B$12)^(20-1)</f>
        <v>75961408.86</v>
      </c>
      <c r="H114" s="5">
        <f>IF(20&lt;=Supuestos!$B$18,$C$42*$C$31*(1+Supuestos!$B$10)^(20-1)*(1-Supuestos!$B$11)^(20-1),0)</f>
        <v>0</v>
      </c>
      <c r="I114" s="5">
        <f>IF(20&lt;=Supuestos!$B$19,G114*$C$32,0)</f>
        <v>0</v>
      </c>
      <c r="J114" s="10">
        <f t="shared" si="33"/>
        <v>103541801.8</v>
      </c>
      <c r="K114" s="5">
        <f t="shared" si="34"/>
        <v>956400274.6</v>
      </c>
      <c r="L114" s="8">
        <f t="shared" si="35"/>
        <v>0.1576481907</v>
      </c>
      <c r="M114" s="5">
        <f>IF(20&lt;=Supuestos!$B$18,H114-Supuestos!$B$22*$C$26*(1+Supuestos!$B$9)^(20-1),0)</f>
        <v>0</v>
      </c>
      <c r="N114" s="5">
        <f>IF(20&lt;=Supuestos!$B$19,I114-Supuestos!$B$23*$C$29*(1+Supuestos!$B$9)^(20-1),0)</f>
        <v>0</v>
      </c>
      <c r="O114" s="5">
        <f t="shared" ref="O114:P114" si="54">O113+M114</f>
        <v>76770947.73</v>
      </c>
      <c r="P114" s="5">
        <f t="shared" si="54"/>
        <v>166048636</v>
      </c>
    </row>
    <row r="115" ht="14.25" customHeight="1"/>
    <row r="116" ht="14.25" customHeight="1"/>
    <row r="117" ht="14.25" customHeight="1">
      <c r="A117" s="1" t="s">
        <v>200</v>
      </c>
    </row>
    <row r="118" ht="14.25" customHeight="1">
      <c r="B118" s="2" t="s">
        <v>184</v>
      </c>
      <c r="C118" s="2" t="s">
        <v>185</v>
      </c>
      <c r="D118" s="2" t="s">
        <v>186</v>
      </c>
      <c r="E118" s="2" t="s">
        <v>187</v>
      </c>
      <c r="F118" s="2" t="s">
        <v>188</v>
      </c>
      <c r="G118" s="2" t="s">
        <v>189</v>
      </c>
      <c r="H118" s="2" t="s">
        <v>190</v>
      </c>
      <c r="I118" s="2" t="s">
        <v>191</v>
      </c>
      <c r="J118" s="2" t="s">
        <v>192</v>
      </c>
      <c r="K118" s="2" t="s">
        <v>193</v>
      </c>
      <c r="L118" s="2" t="s">
        <v>194</v>
      </c>
      <c r="M118" s="2" t="s">
        <v>195</v>
      </c>
      <c r="N118" s="2" t="s">
        <v>196</v>
      </c>
      <c r="O118" s="2" t="s">
        <v>197</v>
      </c>
      <c r="P118" s="2" t="s">
        <v>198</v>
      </c>
    </row>
    <row r="119" ht="14.25" customHeight="1">
      <c r="B119" s="4" t="s">
        <v>199</v>
      </c>
      <c r="C119" s="5">
        <v>0.0</v>
      </c>
      <c r="D119" s="5">
        <v>0.0</v>
      </c>
      <c r="E119" s="5">
        <v>0.0</v>
      </c>
      <c r="F119" s="5">
        <v>0.0</v>
      </c>
      <c r="G119" s="5">
        <v>0.0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5">
        <f>-$D$34</f>
        <v>-28728077.63</v>
      </c>
      <c r="N119" s="5">
        <f>-$D$36</f>
        <v>-115842636</v>
      </c>
      <c r="O119" s="5">
        <f t="shared" ref="O119:P119" si="55">M119</f>
        <v>-28728077.63</v>
      </c>
      <c r="P119" s="5">
        <f t="shared" si="55"/>
        <v>-115842636</v>
      </c>
    </row>
    <row r="120" ht="14.25" customHeight="1">
      <c r="B120" s="19">
        <f>Supuestos!$B$25+1-1</f>
        <v>2026</v>
      </c>
      <c r="C120" s="5">
        <f>$D$39*(1+Supuestos!$B$9)^(1-1)</f>
        <v>259914222.7</v>
      </c>
      <c r="D120" s="5">
        <f>IF(B120&lt;=Supuestos!$B$26,$D$38*(1+Supuestos!$B$9)^(1-1),0)</f>
        <v>57664105.66</v>
      </c>
      <c r="E120" s="5">
        <f t="shared" ref="E120:E139" si="57">C120-D120</f>
        <v>202250117</v>
      </c>
      <c r="F120" s="5">
        <f>$D$43*(1+Supuestos!$B$9)^(1-1)*(1-Supuestos!$B$11)^(1-1)</f>
        <v>7857249.497</v>
      </c>
      <c r="G120" s="5">
        <f>$D$44*(1+Supuestos!$B$9)^(1-1)*(1-Supuestos!$B$12)^(1-1)</f>
        <v>38176081.32</v>
      </c>
      <c r="H120" s="5">
        <f>IF(1&lt;=Supuestos!$B$18,$D$42*$D$31*(1+Supuestos!$B$10)^(1-1)*(1-Supuestos!$B$11)^(1-1),0)</f>
        <v>4618204.558</v>
      </c>
      <c r="I120" s="5">
        <f>IF(1&lt;=Supuestos!$B$19,G120*$D$32,0)</f>
        <v>19088040.66</v>
      </c>
      <c r="J120" s="10">
        <f t="shared" ref="J120:J139" si="58">F120+G120-H120-I120</f>
        <v>22327085.6</v>
      </c>
      <c r="K120" s="5">
        <f t="shared" ref="K120:K139" si="59">K119+J120</f>
        <v>22327085.6</v>
      </c>
      <c r="L120" s="8">
        <f t="shared" ref="L120:L139" si="60">IF(E120&gt;0,J120/E120,0)</f>
        <v>0.1103934372</v>
      </c>
      <c r="M120" s="5">
        <f>IF(1&lt;=Supuestos!$B$18,H120-Supuestos!$B$22*$D$26*(1+Supuestos!$B$9)^(1-1),0)</f>
        <v>3837516.058</v>
      </c>
      <c r="N120" s="5">
        <f>IF(1&lt;=Supuestos!$B$19,I120-Supuestos!$B$23*$D$29*(1+Supuestos!$B$9)^(1-1),0)</f>
        <v>14844720.66</v>
      </c>
      <c r="O120" s="5">
        <f t="shared" ref="O120:P120" si="56">O119+M120</f>
        <v>-24890561.57</v>
      </c>
      <c r="P120" s="5">
        <f t="shared" si="56"/>
        <v>-100997915.3</v>
      </c>
    </row>
    <row r="121" ht="14.25" customHeight="1">
      <c r="B121" s="19">
        <f>Supuestos!$B$25+2-1</f>
        <v>2027</v>
      </c>
      <c r="C121" s="5">
        <f>$D$39*(1+Supuestos!$B$9)^(2-1)</f>
        <v>272909933.8</v>
      </c>
      <c r="D121" s="5">
        <f>IF(B121&lt;=Supuestos!$B$26,$D$38*(1+Supuestos!$B$9)^(2-1),0)</f>
        <v>60547310.94</v>
      </c>
      <c r="E121" s="5">
        <f t="shared" si="57"/>
        <v>212362622.9</v>
      </c>
      <c r="F121" s="5">
        <f>$D$43*(1+Supuestos!$B$9)^(2-1)*(1-Supuestos!$B$11)^(2-1)</f>
        <v>8208861.412</v>
      </c>
      <c r="G121" s="5">
        <f>$D$44*(1+Supuestos!$B$9)^(2-1)*(1-Supuestos!$B$12)^(2-1)</f>
        <v>39583824.31</v>
      </c>
      <c r="H121" s="5">
        <f>IF(2&lt;=Supuestos!$B$18,$D$42*$D$31*(1+Supuestos!$B$10)^(2-1)*(1-Supuestos!$B$11)^(2-1),0)</f>
        <v>4824869.212</v>
      </c>
      <c r="I121" s="5">
        <f>IF(2&lt;=Supuestos!$B$19,G121*$D$32,0)</f>
        <v>19791912.16</v>
      </c>
      <c r="J121" s="10">
        <f t="shared" si="58"/>
        <v>23175904.36</v>
      </c>
      <c r="K121" s="5">
        <f t="shared" si="59"/>
        <v>45502989.95</v>
      </c>
      <c r="L121" s="8">
        <f t="shared" si="60"/>
        <v>0.1091336321</v>
      </c>
      <c r="M121" s="5">
        <f>IF(2&lt;=Supuestos!$B$18,H121-Supuestos!$B$22*$D$26*(1+Supuestos!$B$9)^(2-1),0)</f>
        <v>4005146.287</v>
      </c>
      <c r="N121" s="5">
        <f>IF(2&lt;=Supuestos!$B$19,I121-Supuestos!$B$23*$D$29*(1+Supuestos!$B$9)^(2-1),0)</f>
        <v>15336426.16</v>
      </c>
      <c r="O121" s="5">
        <f t="shared" ref="O121:P121" si="61">O120+M121</f>
        <v>-20885415.28</v>
      </c>
      <c r="P121" s="5">
        <f t="shared" si="61"/>
        <v>-85661489.19</v>
      </c>
    </row>
    <row r="122" ht="14.25" customHeight="1">
      <c r="B122" s="19">
        <f>Supuestos!$B$25+3-1</f>
        <v>2028</v>
      </c>
      <c r="C122" s="5">
        <f>$D$39*(1+Supuestos!$B$9)^(3-1)</f>
        <v>286555430.5</v>
      </c>
      <c r="D122" s="5">
        <f>IF(B122&lt;=Supuestos!$B$26,$D$38*(1+Supuestos!$B$9)^(3-1),0)</f>
        <v>63574676.49</v>
      </c>
      <c r="E122" s="5">
        <f t="shared" si="57"/>
        <v>222980754</v>
      </c>
      <c r="F122" s="5">
        <f>$D$43*(1+Supuestos!$B$9)^(3-1)*(1-Supuestos!$B$11)^(3-1)</f>
        <v>8576207.96</v>
      </c>
      <c r="G122" s="5">
        <f>$D$44*(1+Supuestos!$B$9)^(3-1)*(1-Supuestos!$B$12)^(3-1)</f>
        <v>41043477.84</v>
      </c>
      <c r="H122" s="5">
        <f>IF(3&lt;=Supuestos!$B$18,$D$42*$D$31*(1+Supuestos!$B$10)^(3-1)*(1-Supuestos!$B$11)^(3-1),0)</f>
        <v>5040782.109</v>
      </c>
      <c r="I122" s="5">
        <f>IF(3&lt;=Supuestos!$B$19,G122*$D$32,0)</f>
        <v>20521738.92</v>
      </c>
      <c r="J122" s="10">
        <f t="shared" si="58"/>
        <v>24057164.77</v>
      </c>
      <c r="K122" s="5">
        <f t="shared" si="59"/>
        <v>69560154.72</v>
      </c>
      <c r="L122" s="8">
        <f t="shared" si="60"/>
        <v>0.107888974</v>
      </c>
      <c r="M122" s="5">
        <f>IF(3&lt;=Supuestos!$B$18,H122-Supuestos!$B$22*$D$26*(1+Supuestos!$B$9)^(3-1),0)</f>
        <v>4180073.038</v>
      </c>
      <c r="N122" s="5">
        <f>IF(3&lt;=Supuestos!$B$19,I122-Supuestos!$B$23*$D$29*(1+Supuestos!$B$9)^(3-1),0)</f>
        <v>15843478.62</v>
      </c>
      <c r="O122" s="5">
        <f t="shared" ref="O122:P122" si="62">O121+M122</f>
        <v>-16705342.24</v>
      </c>
      <c r="P122" s="5">
        <f t="shared" si="62"/>
        <v>-69818010.57</v>
      </c>
    </row>
    <row r="123" ht="14.25" customHeight="1">
      <c r="B123" s="19">
        <f>Supuestos!$B$25+4-1</f>
        <v>2029</v>
      </c>
      <c r="C123" s="5">
        <f>$D$39*(1+Supuestos!$B$9)^(4-1)</f>
        <v>300883202</v>
      </c>
      <c r="D123" s="5">
        <f>IF(B123&lt;=Supuestos!$B$26,$D$38*(1+Supuestos!$B$9)^(4-1),0)</f>
        <v>66753410.31</v>
      </c>
      <c r="E123" s="5">
        <f t="shared" si="57"/>
        <v>234129791.7</v>
      </c>
      <c r="F123" s="5">
        <f>$D$43*(1+Supuestos!$B$9)^(4-1)*(1-Supuestos!$B$11)^(4-1)</f>
        <v>8959993.266</v>
      </c>
      <c r="G123" s="5">
        <f>$D$44*(1+Supuestos!$B$9)^(4-1)*(1-Supuestos!$B$12)^(4-1)</f>
        <v>42556956.08</v>
      </c>
      <c r="H123" s="5">
        <f>IF(4&lt;=Supuestos!$B$18,$D$42*$D$31*(1+Supuestos!$B$10)^(4-1)*(1-Supuestos!$B$11)^(4-1),0)</f>
        <v>5266357.108</v>
      </c>
      <c r="I123" s="5">
        <f>IF(4&lt;=Supuestos!$B$19,G123*$D$32,0)</f>
        <v>21278478.04</v>
      </c>
      <c r="J123" s="10">
        <f t="shared" si="58"/>
        <v>24972114.2</v>
      </c>
      <c r="K123" s="5">
        <f t="shared" si="59"/>
        <v>94532268.92</v>
      </c>
      <c r="L123" s="8">
        <f t="shared" si="60"/>
        <v>0.1066592765</v>
      </c>
      <c r="M123" s="5">
        <f>IF(4&lt;=Supuestos!$B$18,H123-Supuestos!$B$22*$D$26*(1+Supuestos!$B$9)^(4-1),0)</f>
        <v>4362612.584</v>
      </c>
      <c r="N123" s="5">
        <f>IF(4&lt;=Supuestos!$B$19,I123-Supuestos!$B$23*$D$29*(1+Supuestos!$B$9)^(4-1),0)</f>
        <v>16366304.73</v>
      </c>
      <c r="O123" s="5">
        <f t="shared" ref="O123:P123" si="63">O122+M123</f>
        <v>-12342729.66</v>
      </c>
      <c r="P123" s="5">
        <f t="shared" si="63"/>
        <v>-53451705.84</v>
      </c>
    </row>
    <row r="124" ht="14.25" customHeight="1">
      <c r="B124" s="19">
        <f>Supuestos!$B$25+5-1</f>
        <v>2030</v>
      </c>
      <c r="C124" s="5">
        <f>$D$39*(1+Supuestos!$B$9)^(5-1)</f>
        <v>315927362.1</v>
      </c>
      <c r="D124" s="5">
        <f>IF(B124&lt;=Supuestos!$B$26,$D$38*(1+Supuestos!$B$9)^(5-1),0)</f>
        <v>70091080.83</v>
      </c>
      <c r="E124" s="5">
        <f t="shared" si="57"/>
        <v>245836281.3</v>
      </c>
      <c r="F124" s="5">
        <f>$D$43*(1+Supuestos!$B$9)^(5-1)*(1-Supuestos!$B$11)^(5-1)</f>
        <v>9360952.965</v>
      </c>
      <c r="G124" s="5">
        <f>$D$44*(1+Supuestos!$B$9)^(5-1)*(1-Supuestos!$B$12)^(5-1)</f>
        <v>44126243.84</v>
      </c>
      <c r="H124" s="5">
        <f>IF(5&lt;=Supuestos!$B$18,$D$42*$D$31*(1+Supuestos!$B$10)^(5-1)*(1-Supuestos!$B$11)^(5-1),0)</f>
        <v>5502026.589</v>
      </c>
      <c r="I124" s="5">
        <f>IF(5&lt;=Supuestos!$B$19,G124*$D$32,0)</f>
        <v>22063121.92</v>
      </c>
      <c r="J124" s="10">
        <f t="shared" si="58"/>
        <v>25922048.29</v>
      </c>
      <c r="K124" s="5">
        <f t="shared" si="59"/>
        <v>120454317.2</v>
      </c>
      <c r="L124" s="8">
        <f t="shared" si="60"/>
        <v>0.1054443557</v>
      </c>
      <c r="M124" s="5">
        <f>IF(5&lt;=Supuestos!$B$18,H124-Supuestos!$B$22*$D$26*(1+Supuestos!$B$9)^(5-1),0)</f>
        <v>4553094.838</v>
      </c>
      <c r="N124" s="5">
        <f>IF(5&lt;=Supuestos!$B$19,I124-Supuestos!$B$23*$D$29*(1+Supuestos!$B$9)^(5-1),0)</f>
        <v>16905339.94</v>
      </c>
      <c r="O124" s="5">
        <f t="shared" ref="O124:P124" si="64">O123+M124</f>
        <v>-7789634.821</v>
      </c>
      <c r="P124" s="5">
        <f t="shared" si="64"/>
        <v>-36546365.91</v>
      </c>
    </row>
    <row r="125" ht="14.25" customHeight="1">
      <c r="B125" s="19">
        <f>Supuestos!$B$25+6-1</f>
        <v>2031</v>
      </c>
      <c r="C125" s="5">
        <f>$D$39*(1+Supuestos!$B$9)^(6-1)</f>
        <v>331723730.2</v>
      </c>
      <c r="D125" s="5">
        <f>IF(B125&lt;=Supuestos!$B$26,$D$38*(1+Supuestos!$B$9)^(6-1),0)</f>
        <v>73595634.87</v>
      </c>
      <c r="E125" s="5">
        <f t="shared" si="57"/>
        <v>258128095.3</v>
      </c>
      <c r="F125" s="5">
        <f>$D$43*(1+Supuestos!$B$9)^(6-1)*(1-Supuestos!$B$11)^(6-1)</f>
        <v>9779855.61</v>
      </c>
      <c r="G125" s="5">
        <f>$D$44*(1+Supuestos!$B$9)^(6-1)*(1-Supuestos!$B$12)^(6-1)</f>
        <v>45753399.08</v>
      </c>
      <c r="H125" s="5">
        <f>IF(6&lt;=Supuestos!$B$18,$D$42*$D$31*(1+Supuestos!$B$10)^(6-1)*(1-Supuestos!$B$11)^(6-1),0)</f>
        <v>5748242.279</v>
      </c>
      <c r="I125" s="5">
        <f>IF(6&lt;=Supuestos!$B$19,G125*$D$32,0)</f>
        <v>22876699.54</v>
      </c>
      <c r="J125" s="10">
        <f t="shared" si="58"/>
        <v>26908312.87</v>
      </c>
      <c r="K125" s="5">
        <f t="shared" si="59"/>
        <v>147362630.1</v>
      </c>
      <c r="L125" s="8">
        <f t="shared" si="60"/>
        <v>0.1042440298</v>
      </c>
      <c r="M125" s="5">
        <f>IF(6&lt;=Supuestos!$B$18,H125-Supuestos!$B$22*$D$26*(1+Supuestos!$B$9)^(6-1),0)</f>
        <v>4751863.94</v>
      </c>
      <c r="N125" s="5">
        <f>IF(6&lt;=Supuestos!$B$19,I125-Supuestos!$B$23*$D$29*(1+Supuestos!$B$9)^(6-1),0)</f>
        <v>17461028.46</v>
      </c>
      <c r="O125" s="5">
        <f t="shared" ref="O125:P125" si="65">O124+M125</f>
        <v>-3037770.881</v>
      </c>
      <c r="P125" s="5">
        <f t="shared" si="65"/>
        <v>-19085337.45</v>
      </c>
    </row>
    <row r="126" ht="14.25" customHeight="1">
      <c r="B126" s="19">
        <f>Supuestos!$B$25+7-1</f>
        <v>2032</v>
      </c>
      <c r="C126" s="5">
        <f>$D$39*(1+Supuestos!$B$9)^(7-1)</f>
        <v>348309916.7</v>
      </c>
      <c r="D126" s="5">
        <f>IF(B126&lt;=Supuestos!$B$26,$D$38*(1+Supuestos!$B$9)^(7-1),0)</f>
        <v>77275416.61</v>
      </c>
      <c r="E126" s="5">
        <f t="shared" si="57"/>
        <v>271034500.1</v>
      </c>
      <c r="F126" s="5">
        <f>$D$43*(1+Supuestos!$B$9)^(7-1)*(1-Supuestos!$B$11)^(7-1)</f>
        <v>10217504.15</v>
      </c>
      <c r="G126" s="5">
        <f>$D$44*(1+Supuestos!$B$9)^(7-1)*(1-Supuestos!$B$12)^(7-1)</f>
        <v>47440555.67</v>
      </c>
      <c r="H126" s="5">
        <f>IF(7&lt;=Supuestos!$B$18,$D$42*$D$31*(1+Supuestos!$B$10)^(7-1)*(1-Supuestos!$B$11)^(7-1),0)</f>
        <v>6005476.121</v>
      </c>
      <c r="I126" s="5">
        <f>IF(7&lt;=Supuestos!$B$19,G126*$D$32,0)</f>
        <v>23720277.83</v>
      </c>
      <c r="J126" s="10">
        <f t="shared" si="58"/>
        <v>27932305.86</v>
      </c>
      <c r="K126" s="5">
        <f t="shared" si="59"/>
        <v>175294935.9</v>
      </c>
      <c r="L126" s="8">
        <f t="shared" si="60"/>
        <v>0.1030581194</v>
      </c>
      <c r="M126" s="5">
        <f>IF(7&lt;=Supuestos!$B$18,H126-Supuestos!$B$22*$D$26*(1+Supuestos!$B$9)^(7-1),0)</f>
        <v>4959278.865</v>
      </c>
      <c r="N126" s="5">
        <f>IF(7&lt;=Supuestos!$B$19,I126-Supuestos!$B$23*$D$29*(1+Supuestos!$B$9)^(7-1),0)</f>
        <v>18033823.2</v>
      </c>
      <c r="O126" s="5">
        <f t="shared" ref="O126:P126" si="66">O125+M126</f>
        <v>1921507.985</v>
      </c>
      <c r="P126" s="5">
        <f t="shared" si="66"/>
        <v>-1051514.246</v>
      </c>
    </row>
    <row r="127" ht="14.25" customHeight="1">
      <c r="B127" s="19">
        <f>Supuestos!$B$25+8-1</f>
        <v>2033</v>
      </c>
      <c r="C127" s="5">
        <f>$D$39*(1+Supuestos!$B$9)^(8-1)</f>
        <v>365725412.6</v>
      </c>
      <c r="D127" s="5">
        <f>IF(B127&lt;=Supuestos!$B$26,$D$38*(1+Supuestos!$B$9)^(8-1),0)</f>
        <v>0</v>
      </c>
      <c r="E127" s="5">
        <f t="shared" si="57"/>
        <v>365725412.6</v>
      </c>
      <c r="F127" s="5">
        <f>$D$43*(1+Supuestos!$B$9)^(8-1)*(1-Supuestos!$B$11)^(8-1)</f>
        <v>10674737.46</v>
      </c>
      <c r="G127" s="5">
        <f>$D$44*(1+Supuestos!$B$9)^(8-1)*(1-Supuestos!$B$12)^(8-1)</f>
        <v>49189926.16</v>
      </c>
      <c r="H127" s="5">
        <f>IF(8&lt;=Supuestos!$B$18,$D$42*$D$31*(1+Supuestos!$B$10)^(8-1)*(1-Supuestos!$B$11)^(8-1),0)</f>
        <v>6274221.177</v>
      </c>
      <c r="I127" s="5">
        <f>IF(8&lt;=Supuestos!$B$19,G127*$D$32,0)</f>
        <v>24594963.08</v>
      </c>
      <c r="J127" s="10">
        <f t="shared" si="58"/>
        <v>28995479.36</v>
      </c>
      <c r="K127" s="5">
        <f t="shared" si="59"/>
        <v>204290415.3</v>
      </c>
      <c r="L127" s="8">
        <f t="shared" si="60"/>
        <v>0.07928210172</v>
      </c>
      <c r="M127" s="5">
        <f>IF(8&lt;=Supuestos!$B$18,H127-Supuestos!$B$22*$D$26*(1+Supuestos!$B$9)^(8-1),0)</f>
        <v>5175714.059</v>
      </c>
      <c r="N127" s="5">
        <f>IF(8&lt;=Supuestos!$B$19,I127-Supuestos!$B$23*$D$29*(1+Supuestos!$B$9)^(8-1),0)</f>
        <v>18624185.71</v>
      </c>
      <c r="O127" s="5">
        <f t="shared" ref="O127:P127" si="67">O126+M127</f>
        <v>7097222.044</v>
      </c>
      <c r="P127" s="5">
        <f t="shared" si="67"/>
        <v>17572671.47</v>
      </c>
    </row>
    <row r="128" ht="14.25" customHeight="1">
      <c r="B128" s="19">
        <f>Supuestos!$B$25+9-1</f>
        <v>2034</v>
      </c>
      <c r="C128" s="5">
        <f>$D$39*(1+Supuestos!$B$9)^(9-1)</f>
        <v>384011683.2</v>
      </c>
      <c r="D128" s="5">
        <f>IF(B128&lt;=Supuestos!$B$26,$D$38*(1+Supuestos!$B$9)^(9-1),0)</f>
        <v>0</v>
      </c>
      <c r="E128" s="5">
        <f t="shared" si="57"/>
        <v>384011683.2</v>
      </c>
      <c r="F128" s="5">
        <f>$D$43*(1+Supuestos!$B$9)^(9-1)*(1-Supuestos!$B$11)^(9-1)</f>
        <v>11152431.96</v>
      </c>
      <c r="G128" s="5">
        <f>$D$44*(1+Supuestos!$B$9)^(9-1)*(1-Supuestos!$B$12)^(9-1)</f>
        <v>51003804.69</v>
      </c>
      <c r="H128" s="5">
        <f>IF(9&lt;=Supuestos!$B$18,$D$42*$D$31*(1+Supuestos!$B$10)^(9-1)*(1-Supuestos!$B$11)^(9-1),0)</f>
        <v>6554992.575</v>
      </c>
      <c r="I128" s="5">
        <f>IF(9&lt;=Supuestos!$B$19,G128*$D$32,0)</f>
        <v>25501902.34</v>
      </c>
      <c r="J128" s="10">
        <f t="shared" si="58"/>
        <v>30099341.73</v>
      </c>
      <c r="K128" s="5">
        <f t="shared" si="59"/>
        <v>234389757</v>
      </c>
      <c r="L128" s="8">
        <f t="shared" si="60"/>
        <v>0.07838131767</v>
      </c>
      <c r="M128" s="5">
        <f>IF(9&lt;=Supuestos!$B$18,H128-Supuestos!$B$22*$D$26*(1+Supuestos!$B$9)^(9-1),0)</f>
        <v>5401560.101</v>
      </c>
      <c r="N128" s="5">
        <f>IF(9&lt;=Supuestos!$B$19,I128-Supuestos!$B$23*$D$29*(1+Supuestos!$B$9)^(9-1),0)</f>
        <v>19232586.11</v>
      </c>
      <c r="O128" s="5">
        <f t="shared" ref="O128:P128" si="68">O127+M128</f>
        <v>12498782.14</v>
      </c>
      <c r="P128" s="5">
        <f t="shared" si="68"/>
        <v>36805257.58</v>
      </c>
    </row>
    <row r="129" ht="14.25" customHeight="1">
      <c r="B129" s="19">
        <f>Supuestos!$B$25+10-1</f>
        <v>2035</v>
      </c>
      <c r="C129" s="5">
        <f>$D$39*(1+Supuestos!$B$9)^(10-1)</f>
        <v>403212267.3</v>
      </c>
      <c r="D129" s="5">
        <f>IF(B129&lt;=Supuestos!$B$26,$D$38*(1+Supuestos!$B$9)^(10-1),0)</f>
        <v>0</v>
      </c>
      <c r="E129" s="5">
        <f t="shared" si="57"/>
        <v>403212267.3</v>
      </c>
      <c r="F129" s="5">
        <f>$D$43*(1+Supuestos!$B$9)^(10-1)*(1-Supuestos!$B$11)^(10-1)</f>
        <v>11651503.29</v>
      </c>
      <c r="G129" s="5">
        <f>$D$44*(1+Supuestos!$B$9)^(10-1)*(1-Supuestos!$B$12)^(10-1)</f>
        <v>52884569.98</v>
      </c>
      <c r="H129" s="5">
        <f>IF(10&lt;=Supuestos!$B$18,$D$42*$D$31*(1+Supuestos!$B$10)^(10-1)*(1-Supuestos!$B$11)^(10-1),0)</f>
        <v>6848328.493</v>
      </c>
      <c r="I129" s="5">
        <f>IF(10&lt;=Supuestos!$B$19,G129*$D$32,0)</f>
        <v>26442284.99</v>
      </c>
      <c r="J129" s="10">
        <f t="shared" si="58"/>
        <v>31245459.79</v>
      </c>
      <c r="K129" s="5">
        <f t="shared" si="59"/>
        <v>265635216.8</v>
      </c>
      <c r="L129" s="8">
        <f t="shared" si="60"/>
        <v>0.0774913422</v>
      </c>
      <c r="M129" s="5">
        <f>IF(10&lt;=Supuestos!$B$18,H129-Supuestos!$B$22*$D$26*(1+Supuestos!$B$9)^(10-1),0)</f>
        <v>5637224.395</v>
      </c>
      <c r="N129" s="5">
        <f>IF(10&lt;=Supuestos!$B$19,I129-Supuestos!$B$23*$D$29*(1+Supuestos!$B$9)^(10-1),0)</f>
        <v>19859502.95</v>
      </c>
      <c r="O129" s="5">
        <f t="shared" ref="O129:P129" si="69">O128+M129</f>
        <v>18136006.54</v>
      </c>
      <c r="P129" s="5">
        <f t="shared" si="69"/>
        <v>56664760.52</v>
      </c>
    </row>
    <row r="130" ht="14.25" customHeight="1">
      <c r="B130" s="19">
        <f>Supuestos!$B$25+11-1</f>
        <v>2036</v>
      </c>
      <c r="C130" s="5">
        <f>$D$39*(1+Supuestos!$B$9)^(11-1)</f>
        <v>423372880.7</v>
      </c>
      <c r="D130" s="5">
        <f>IF(B130&lt;=Supuestos!$B$26,$D$38*(1+Supuestos!$B$9)^(11-1),0)</f>
        <v>0</v>
      </c>
      <c r="E130" s="5">
        <f t="shared" si="57"/>
        <v>423372880.7</v>
      </c>
      <c r="F130" s="5">
        <f>$D$43*(1+Supuestos!$B$9)^(11-1)*(1-Supuestos!$B$11)^(11-1)</f>
        <v>12172908.06</v>
      </c>
      <c r="G130" s="5">
        <f>$D$44*(1+Supuestos!$B$9)^(11-1)*(1-Supuestos!$B$12)^(11-1)</f>
        <v>54834688.5</v>
      </c>
      <c r="H130" s="5">
        <f>IF(11&lt;=Supuestos!$B$18,$D$42*$D$31*(1+Supuestos!$B$10)^(11-1)*(1-Supuestos!$B$11)^(11-1),0)</f>
        <v>7154791.193</v>
      </c>
      <c r="I130" s="5">
        <f>IF(11&lt;=Supuestos!$B$19,G130*$D$32,0)</f>
        <v>27417344.25</v>
      </c>
      <c r="J130" s="10">
        <f t="shared" si="58"/>
        <v>32435461.12</v>
      </c>
      <c r="K130" s="5">
        <f t="shared" si="59"/>
        <v>298070677.9</v>
      </c>
      <c r="L130" s="8">
        <f t="shared" si="60"/>
        <v>0.07661204248</v>
      </c>
      <c r="M130" s="5">
        <f>IF(11&lt;=Supuestos!$B$18,H130-Supuestos!$B$22*$D$26*(1+Supuestos!$B$9)^(11-1),0)</f>
        <v>5883131.89</v>
      </c>
      <c r="N130" s="5">
        <f>IF(11&lt;=Supuestos!$B$19,I130-Supuestos!$B$23*$D$29*(1+Supuestos!$B$9)^(11-1),0)</f>
        <v>20505423.1</v>
      </c>
      <c r="O130" s="5">
        <f t="shared" ref="O130:P130" si="70">O129+M130</f>
        <v>24019138.43</v>
      </c>
      <c r="P130" s="5">
        <f t="shared" si="70"/>
        <v>77170183.63</v>
      </c>
    </row>
    <row r="131" ht="14.25" customHeight="1">
      <c r="B131" s="19">
        <f>Supuestos!$B$25+12-1</f>
        <v>2037</v>
      </c>
      <c r="C131" s="5">
        <f>$D$39*(1+Supuestos!$B$9)^(12-1)</f>
        <v>444541524.7</v>
      </c>
      <c r="D131" s="5">
        <f>IF(B131&lt;=Supuestos!$B$26,$D$38*(1+Supuestos!$B$9)^(12-1),0)</f>
        <v>0</v>
      </c>
      <c r="E131" s="5">
        <f t="shared" si="57"/>
        <v>444541524.7</v>
      </c>
      <c r="F131" s="5">
        <f>$D$43*(1+Supuestos!$B$9)^(12-1)*(1-Supuestos!$B$11)^(12-1)</f>
        <v>12717645.7</v>
      </c>
      <c r="G131" s="5">
        <f>$D$44*(1+Supuestos!$B$9)^(12-1)*(1-Supuestos!$B$12)^(12-1)</f>
        <v>56856717.64</v>
      </c>
      <c r="H131" s="5">
        <f>IF(12&lt;=Supuestos!$B$18,$D$42*$D$31*(1+Supuestos!$B$10)^(12-1)*(1-Supuestos!$B$11)^(12-1),0)</f>
        <v>7474968.099</v>
      </c>
      <c r="I131" s="5">
        <f>IF(12&lt;=Supuestos!$B$19,G131*$D$32,0)</f>
        <v>28428358.82</v>
      </c>
      <c r="J131" s="10">
        <f t="shared" si="58"/>
        <v>33671036.42</v>
      </c>
      <c r="K131" s="5">
        <f t="shared" si="59"/>
        <v>331741714.4</v>
      </c>
      <c r="L131" s="8">
        <f t="shared" si="60"/>
        <v>0.07574328729</v>
      </c>
      <c r="M131" s="5">
        <f>IF(12&lt;=Supuestos!$B$18,H131-Supuestos!$B$22*$D$26*(1+Supuestos!$B$9)^(12-1),0)</f>
        <v>6139725.831</v>
      </c>
      <c r="N131" s="5">
        <f>IF(12&lt;=Supuestos!$B$19,I131-Supuestos!$B$23*$D$29*(1+Supuestos!$B$9)^(12-1),0)</f>
        <v>21170841.62</v>
      </c>
      <c r="O131" s="5">
        <f t="shared" ref="O131:P131" si="71">O130+M131</f>
        <v>30158864.26</v>
      </c>
      <c r="P131" s="5">
        <f t="shared" si="71"/>
        <v>98341025.24</v>
      </c>
    </row>
    <row r="132" ht="14.25" customHeight="1">
      <c r="B132" s="19">
        <f>Supuestos!$B$25+13-1</f>
        <v>2038</v>
      </c>
      <c r="C132" s="5">
        <f>$D$39*(1+Supuestos!$B$9)^(13-1)</f>
        <v>466768601</v>
      </c>
      <c r="D132" s="5">
        <f>IF(B132&lt;=Supuestos!$B$26,$D$38*(1+Supuestos!$B$9)^(13-1),0)</f>
        <v>0</v>
      </c>
      <c r="E132" s="5">
        <f t="shared" si="57"/>
        <v>466768601</v>
      </c>
      <c r="F132" s="5">
        <f>$D$43*(1+Supuestos!$B$9)^(13-1)*(1-Supuestos!$B$11)^(13-1)</f>
        <v>13286760.34</v>
      </c>
      <c r="G132" s="5">
        <f>$D$44*(1+Supuestos!$B$9)^(13-1)*(1-Supuestos!$B$12)^(13-1)</f>
        <v>58953309.1</v>
      </c>
      <c r="H132" s="5">
        <f>IF(13&lt;=Supuestos!$B$18,$D$42*$D$31*(1+Supuestos!$B$10)^(13-1)*(1-Supuestos!$B$11)^(13-1),0)</f>
        <v>7809472.921</v>
      </c>
      <c r="I132" s="5">
        <f>IF(13&lt;=Supuestos!$B$19,G132*$D$32,0)</f>
        <v>29476654.55</v>
      </c>
      <c r="J132" s="10">
        <f t="shared" si="58"/>
        <v>34953941.97</v>
      </c>
      <c r="K132" s="5">
        <f t="shared" si="59"/>
        <v>366695656.3</v>
      </c>
      <c r="L132" s="8">
        <f t="shared" si="60"/>
        <v>0.07488494706</v>
      </c>
      <c r="M132" s="5">
        <f>IF(13&lt;=Supuestos!$B$18,H132-Supuestos!$B$22*$D$26*(1+Supuestos!$B$9)^(13-1),0)</f>
        <v>6407468.54</v>
      </c>
      <c r="N132" s="5">
        <f>IF(13&lt;=Supuestos!$B$19,I132-Supuestos!$B$23*$D$29*(1+Supuestos!$B$9)^(13-1),0)</f>
        <v>21856261.49</v>
      </c>
      <c r="O132" s="5">
        <f t="shared" ref="O132:P132" si="72">O131+M132</f>
        <v>36566332.8</v>
      </c>
      <c r="P132" s="5">
        <f t="shared" si="72"/>
        <v>120197286.7</v>
      </c>
    </row>
    <row r="133" ht="14.25" customHeight="1">
      <c r="B133" s="19">
        <f>Supuestos!$B$25+14-1</f>
        <v>2039</v>
      </c>
      <c r="C133" s="5">
        <f>$D$39*(1+Supuestos!$B$9)^(14-1)</f>
        <v>490107031</v>
      </c>
      <c r="D133" s="5">
        <f>IF(B133&lt;=Supuestos!$B$26,$D$38*(1+Supuestos!$B$9)^(14-1),0)</f>
        <v>0</v>
      </c>
      <c r="E133" s="5">
        <f t="shared" si="57"/>
        <v>490107031</v>
      </c>
      <c r="F133" s="5">
        <f>$D$43*(1+Supuestos!$B$9)^(14-1)*(1-Supuestos!$B$11)^(14-1)</f>
        <v>13881342.87</v>
      </c>
      <c r="G133" s="5">
        <f>$D$44*(1+Supuestos!$B$9)^(14-1)*(1-Supuestos!$B$12)^(14-1)</f>
        <v>61127212.38</v>
      </c>
      <c r="H133" s="5">
        <f>IF(14&lt;=Supuestos!$B$18,$D$42*$D$31*(1+Supuestos!$B$10)^(14-1)*(1-Supuestos!$B$11)^(14-1),0)</f>
        <v>8158946.834</v>
      </c>
      <c r="I133" s="5">
        <f>IF(14&lt;=Supuestos!$B$19,G133*$D$32,0)</f>
        <v>30563606.19</v>
      </c>
      <c r="J133" s="10">
        <f t="shared" si="58"/>
        <v>36286002.22</v>
      </c>
      <c r="K133" s="5">
        <f t="shared" si="59"/>
        <v>402981658.6</v>
      </c>
      <c r="L133" s="8">
        <f t="shared" si="60"/>
        <v>0.07403689383</v>
      </c>
      <c r="M133" s="5">
        <f>IF(14&lt;=Supuestos!$B$18,H133-Supuestos!$B$22*$D$26*(1+Supuestos!$B$9)^(14-1),0)</f>
        <v>6686842.234</v>
      </c>
      <c r="N133" s="5">
        <f>IF(14&lt;=Supuestos!$B$19,I133-Supuestos!$B$23*$D$29*(1+Supuestos!$B$9)^(14-1),0)</f>
        <v>22562193.47</v>
      </c>
      <c r="O133" s="5">
        <f t="shared" ref="O133:P133" si="73">O132+M133</f>
        <v>43253175.03</v>
      </c>
      <c r="P133" s="5">
        <f t="shared" si="73"/>
        <v>142759480.2</v>
      </c>
    </row>
    <row r="134" ht="14.25" customHeight="1">
      <c r="B134" s="19">
        <f>Supuestos!$B$25+15-1</f>
        <v>2040</v>
      </c>
      <c r="C134" s="5">
        <f>$D$39*(1+Supuestos!$B$9)^(15-1)</f>
        <v>514612382.6</v>
      </c>
      <c r="D134" s="5">
        <f>IF(B134&lt;=Supuestos!$B$26,$D$38*(1+Supuestos!$B$9)^(15-1),0)</f>
        <v>0</v>
      </c>
      <c r="E134" s="5">
        <f t="shared" si="57"/>
        <v>514612382.6</v>
      </c>
      <c r="F134" s="5">
        <f>$D$43*(1+Supuestos!$B$9)^(15-1)*(1-Supuestos!$B$11)^(15-1)</f>
        <v>14502532.96</v>
      </c>
      <c r="G134" s="5">
        <f>$D$44*(1+Supuestos!$B$9)^(15-1)*(1-Supuestos!$B$12)^(15-1)</f>
        <v>63381278.33</v>
      </c>
      <c r="H134" s="5">
        <f>IF(15&lt;=Supuestos!$B$18,$D$42*$D$31*(1+Supuestos!$B$10)^(15-1)*(1-Supuestos!$B$11)^(15-1),0)</f>
        <v>8524059.705</v>
      </c>
      <c r="I134" s="5">
        <f>IF(15&lt;=Supuestos!$B$19,G134*$D$32,0)</f>
        <v>31690639.17</v>
      </c>
      <c r="J134" s="10">
        <f t="shared" si="58"/>
        <v>37669112.42</v>
      </c>
      <c r="K134" s="5">
        <f t="shared" si="59"/>
        <v>440650771</v>
      </c>
      <c r="L134" s="8">
        <f t="shared" si="60"/>
        <v>0.07319900123</v>
      </c>
      <c r="M134" s="5">
        <f>IF(15&lt;=Supuestos!$B$18,H134-Supuestos!$B$22*$D$26*(1+Supuestos!$B$9)^(15-1),0)</f>
        <v>6978349.875</v>
      </c>
      <c r="N134" s="5">
        <f>IF(15&lt;=Supuestos!$B$19,I134-Supuestos!$B$23*$D$29*(1+Supuestos!$B$9)^(15-1),0)</f>
        <v>23289155.81</v>
      </c>
      <c r="O134" s="5">
        <f t="shared" ref="O134:P134" si="74">O133+M134</f>
        <v>50231524.91</v>
      </c>
      <c r="P134" s="5">
        <f t="shared" si="74"/>
        <v>166048636</v>
      </c>
    </row>
    <row r="135" ht="14.25" customHeight="1">
      <c r="B135" s="19">
        <f>Supuestos!$B$25+16-1</f>
        <v>2041</v>
      </c>
      <c r="C135" s="5">
        <f>$D$39*(1+Supuestos!$B$9)^(16-1)</f>
        <v>540343001.7</v>
      </c>
      <c r="D135" s="5">
        <f>IF(B135&lt;=Supuestos!$B$26,$D$38*(1+Supuestos!$B$9)^(16-1),0)</f>
        <v>0</v>
      </c>
      <c r="E135" s="5">
        <f t="shared" si="57"/>
        <v>540343001.7</v>
      </c>
      <c r="F135" s="5">
        <f>$D$43*(1+Supuestos!$B$9)^(16-1)*(1-Supuestos!$B$11)^(16-1)</f>
        <v>15151521.31</v>
      </c>
      <c r="G135" s="5">
        <f>$D$44*(1+Supuestos!$B$9)^(16-1)*(1-Supuestos!$B$12)^(16-1)</f>
        <v>65718462.97</v>
      </c>
      <c r="H135" s="5">
        <f>IF(16&lt;=Supuestos!$B$18,$D$42*$D$31*(1+Supuestos!$B$10)^(16-1)*(1-Supuestos!$B$11)^(16-1),0)</f>
        <v>0</v>
      </c>
      <c r="I135" s="5">
        <f>IF(16&lt;=Supuestos!$B$19,G135*$D$32,0)</f>
        <v>0</v>
      </c>
      <c r="J135" s="10">
        <f t="shared" si="58"/>
        <v>80869984.28</v>
      </c>
      <c r="K135" s="5">
        <f t="shared" si="59"/>
        <v>521520755.3</v>
      </c>
      <c r="L135" s="8">
        <f t="shared" si="60"/>
        <v>0.1496641652</v>
      </c>
      <c r="M135" s="5">
        <f>IF(16&lt;=Supuestos!$B$18,H135-Supuestos!$B$22*$D$26*(1+Supuestos!$B$9)^(16-1),0)</f>
        <v>0</v>
      </c>
      <c r="N135" s="5">
        <f>IF(16&lt;=Supuestos!$B$19,I135-Supuestos!$B$23*$D$29*(1+Supuestos!$B$9)^(16-1),0)</f>
        <v>0</v>
      </c>
      <c r="O135" s="5">
        <f t="shared" ref="O135:P135" si="75">O134+M135</f>
        <v>50231524.91</v>
      </c>
      <c r="P135" s="5">
        <f t="shared" si="75"/>
        <v>166048636</v>
      </c>
    </row>
    <row r="136" ht="14.25" customHeight="1">
      <c r="B136" s="19">
        <f>Supuestos!$B$25+17-1</f>
        <v>2042</v>
      </c>
      <c r="C136" s="5">
        <f>$D$39*(1+Supuestos!$B$9)^(17-1)</f>
        <v>567360151.8</v>
      </c>
      <c r="D136" s="5">
        <f>IF(B136&lt;=Supuestos!$B$26,$D$38*(1+Supuestos!$B$9)^(17-1),0)</f>
        <v>0</v>
      </c>
      <c r="E136" s="5">
        <f t="shared" si="57"/>
        <v>567360151.8</v>
      </c>
      <c r="F136" s="5">
        <f>$D$43*(1+Supuestos!$B$9)^(17-1)*(1-Supuestos!$B$11)^(17-1)</f>
        <v>15829551.89</v>
      </c>
      <c r="G136" s="5">
        <f>$D$44*(1+Supuestos!$B$9)^(17-1)*(1-Supuestos!$B$12)^(17-1)</f>
        <v>68141831.29</v>
      </c>
      <c r="H136" s="5">
        <f>IF(17&lt;=Supuestos!$B$18,$D$42*$D$31*(1+Supuestos!$B$10)^(17-1)*(1-Supuestos!$B$11)^(17-1),0)</f>
        <v>0</v>
      </c>
      <c r="I136" s="5">
        <f>IF(17&lt;=Supuestos!$B$19,G136*$D$32,0)</f>
        <v>0</v>
      </c>
      <c r="J136" s="10">
        <f t="shared" si="58"/>
        <v>83971383.18</v>
      </c>
      <c r="K136" s="5">
        <f t="shared" si="59"/>
        <v>605492138.5</v>
      </c>
      <c r="L136" s="8">
        <f t="shared" si="60"/>
        <v>0.1480036674</v>
      </c>
      <c r="M136" s="5">
        <f>IF(17&lt;=Supuestos!$B$18,H136-Supuestos!$B$22*$D$26*(1+Supuestos!$B$9)^(17-1),0)</f>
        <v>0</v>
      </c>
      <c r="N136" s="5">
        <f>IF(17&lt;=Supuestos!$B$19,I136-Supuestos!$B$23*$D$29*(1+Supuestos!$B$9)^(17-1),0)</f>
        <v>0</v>
      </c>
      <c r="O136" s="5">
        <f t="shared" ref="O136:P136" si="76">O135+M136</f>
        <v>50231524.91</v>
      </c>
      <c r="P136" s="5">
        <f t="shared" si="76"/>
        <v>166048636</v>
      </c>
    </row>
    <row r="137" ht="14.25" customHeight="1">
      <c r="B137" s="19">
        <f>Supuestos!$B$25+18-1</f>
        <v>2043</v>
      </c>
      <c r="C137" s="5">
        <f>$D$39*(1+Supuestos!$B$9)^(18-1)</f>
        <v>595728159.4</v>
      </c>
      <c r="D137" s="5">
        <f>IF(B137&lt;=Supuestos!$B$26,$D$38*(1+Supuestos!$B$9)^(18-1),0)</f>
        <v>0</v>
      </c>
      <c r="E137" s="5">
        <f t="shared" si="57"/>
        <v>595728159.4</v>
      </c>
      <c r="F137" s="5">
        <f>$D$43*(1+Supuestos!$B$9)^(18-1)*(1-Supuestos!$B$11)^(18-1)</f>
        <v>16537924.34</v>
      </c>
      <c r="G137" s="5">
        <f>$D$44*(1+Supuestos!$B$9)^(18-1)*(1-Supuestos!$B$12)^(18-1)</f>
        <v>70654561.32</v>
      </c>
      <c r="H137" s="5">
        <f>IF(18&lt;=Supuestos!$B$18,$D$42*$D$31*(1+Supuestos!$B$10)^(18-1)*(1-Supuestos!$B$11)^(18-1),0)</f>
        <v>0</v>
      </c>
      <c r="I137" s="5">
        <f>IF(18&lt;=Supuestos!$B$19,G137*$D$32,0)</f>
        <v>0</v>
      </c>
      <c r="J137" s="10">
        <f t="shared" si="58"/>
        <v>87192485.66</v>
      </c>
      <c r="K137" s="5">
        <f t="shared" si="59"/>
        <v>692684624.1</v>
      </c>
      <c r="L137" s="8">
        <f t="shared" si="60"/>
        <v>0.1463628742</v>
      </c>
      <c r="M137" s="5">
        <f>IF(18&lt;=Supuestos!$B$18,H137-Supuestos!$B$22*$D$26*(1+Supuestos!$B$9)^(18-1),0)</f>
        <v>0</v>
      </c>
      <c r="N137" s="5">
        <f>IF(18&lt;=Supuestos!$B$19,I137-Supuestos!$B$23*$D$29*(1+Supuestos!$B$9)^(18-1),0)</f>
        <v>0</v>
      </c>
      <c r="O137" s="5">
        <f t="shared" ref="O137:P137" si="77">O136+M137</f>
        <v>50231524.91</v>
      </c>
      <c r="P137" s="5">
        <f t="shared" si="77"/>
        <v>166048636</v>
      </c>
    </row>
    <row r="138" ht="14.25" customHeight="1">
      <c r="B138" s="19">
        <f>Supuestos!$B$25+19-1</f>
        <v>2044</v>
      </c>
      <c r="C138" s="5">
        <f>$D$39*(1+Supuestos!$B$9)^(19-1)</f>
        <v>625514567.4</v>
      </c>
      <c r="D138" s="5">
        <f>IF(B138&lt;=Supuestos!$B$26,$D$38*(1+Supuestos!$B$9)^(19-1),0)</f>
        <v>0</v>
      </c>
      <c r="E138" s="5">
        <f t="shared" si="57"/>
        <v>625514567.4</v>
      </c>
      <c r="F138" s="5">
        <f>$D$43*(1+Supuestos!$B$9)^(19-1)*(1-Supuestos!$B$11)^(19-1)</f>
        <v>17277996.45</v>
      </c>
      <c r="G138" s="5">
        <f>$D$44*(1+Supuestos!$B$9)^(19-1)*(1-Supuestos!$B$12)^(19-1)</f>
        <v>73259948.27</v>
      </c>
      <c r="H138" s="5">
        <f>IF(19&lt;=Supuestos!$B$18,$D$42*$D$31*(1+Supuestos!$B$10)^(19-1)*(1-Supuestos!$B$11)^(19-1),0)</f>
        <v>0</v>
      </c>
      <c r="I138" s="5">
        <f>IF(19&lt;=Supuestos!$B$19,G138*$D$32,0)</f>
        <v>0</v>
      </c>
      <c r="J138" s="10">
        <f t="shared" si="58"/>
        <v>90537944.72</v>
      </c>
      <c r="K138" s="5">
        <f t="shared" si="59"/>
        <v>783222568.8</v>
      </c>
      <c r="L138" s="8">
        <f t="shared" si="60"/>
        <v>0.1447415447</v>
      </c>
      <c r="M138" s="5">
        <f>IF(19&lt;=Supuestos!$B$18,H138-Supuestos!$B$22*$D$26*(1+Supuestos!$B$9)^(19-1),0)</f>
        <v>0</v>
      </c>
      <c r="N138" s="5">
        <f>IF(19&lt;=Supuestos!$B$19,I138-Supuestos!$B$23*$D$29*(1+Supuestos!$B$9)^(19-1),0)</f>
        <v>0</v>
      </c>
      <c r="O138" s="5">
        <f t="shared" ref="O138:P138" si="78">O137+M138</f>
        <v>50231524.91</v>
      </c>
      <c r="P138" s="5">
        <f t="shared" si="78"/>
        <v>166048636</v>
      </c>
    </row>
    <row r="139" ht="14.25" customHeight="1">
      <c r="B139" s="19">
        <f>Supuestos!$B$25+20-1</f>
        <v>2045</v>
      </c>
      <c r="C139" s="5">
        <f>$D$39*(1+Supuestos!$B$9)^(20-1)</f>
        <v>656790295.7</v>
      </c>
      <c r="D139" s="5">
        <f>IF(B139&lt;=Supuestos!$B$26,$D$38*(1+Supuestos!$B$9)^(20-1),0)</f>
        <v>0</v>
      </c>
      <c r="E139" s="5">
        <f t="shared" si="57"/>
        <v>656790295.7</v>
      </c>
      <c r="F139" s="5">
        <f>$D$43*(1+Supuestos!$B$9)^(20-1)*(1-Supuestos!$B$11)^(20-1)</f>
        <v>18051186.79</v>
      </c>
      <c r="G139" s="5">
        <f>$D$44*(1+Supuestos!$B$9)^(20-1)*(1-Supuestos!$B$12)^(20-1)</f>
        <v>75961408.86</v>
      </c>
      <c r="H139" s="5">
        <f>IF(20&lt;=Supuestos!$B$18,$D$42*$D$31*(1+Supuestos!$B$10)^(20-1)*(1-Supuestos!$B$11)^(20-1),0)</f>
        <v>0</v>
      </c>
      <c r="I139" s="5">
        <f>IF(20&lt;=Supuestos!$B$19,G139*$D$32,0)</f>
        <v>0</v>
      </c>
      <c r="J139" s="10">
        <f t="shared" si="58"/>
        <v>94012595.66</v>
      </c>
      <c r="K139" s="5">
        <f t="shared" si="59"/>
        <v>877235164.5</v>
      </c>
      <c r="L139" s="8">
        <f t="shared" si="60"/>
        <v>0.1431394408</v>
      </c>
      <c r="M139" s="5">
        <f>IF(20&lt;=Supuestos!$B$18,H139-Supuestos!$B$22*$D$26*(1+Supuestos!$B$9)^(20-1),0)</f>
        <v>0</v>
      </c>
      <c r="N139" s="5">
        <f>IF(20&lt;=Supuestos!$B$19,I139-Supuestos!$B$23*$D$29*(1+Supuestos!$B$9)^(20-1),0)</f>
        <v>0</v>
      </c>
      <c r="O139" s="5">
        <f t="shared" ref="O139:P139" si="79">O138+M139</f>
        <v>50231524.91</v>
      </c>
      <c r="P139" s="5">
        <f t="shared" si="79"/>
        <v>166048636</v>
      </c>
    </row>
    <row r="140" ht="14.25" customHeight="1"/>
    <row r="141" ht="14.25" customHeight="1"/>
    <row r="142" ht="14.25" customHeight="1"/>
    <row r="143" ht="14.25" customHeight="1">
      <c r="A143" s="1" t="s">
        <v>201</v>
      </c>
    </row>
    <row r="144" ht="14.25" customHeight="1"/>
    <row r="145" ht="14.25" customHeight="1">
      <c r="B145" s="18" t="s">
        <v>202</v>
      </c>
      <c r="C145" s="18" t="s">
        <v>203</v>
      </c>
      <c r="D145" s="18" t="s">
        <v>204</v>
      </c>
      <c r="E145" s="18" t="s">
        <v>205</v>
      </c>
      <c r="F145" s="18" t="s">
        <v>206</v>
      </c>
      <c r="G145" s="18" t="s">
        <v>207</v>
      </c>
    </row>
    <row r="146" ht="14.25" customHeight="1">
      <c r="A146" s="4" t="s">
        <v>208</v>
      </c>
      <c r="B146" s="4">
        <v>0.0</v>
      </c>
      <c r="C146" s="5">
        <f>$N$19-C43</f>
        <v>190245032.2</v>
      </c>
      <c r="D146" s="5">
        <f t="shared" ref="D146:E146" si="80">C146-C147</f>
        <v>178239947.4</v>
      </c>
      <c r="E146" s="5">
        <f t="shared" si="80"/>
        <v>140063866</v>
      </c>
      <c r="F146" s="5">
        <f>E146</f>
        <v>140063866</v>
      </c>
      <c r="G146" s="5">
        <v>0.0</v>
      </c>
    </row>
    <row r="147" ht="14.25" customHeight="1">
      <c r="A147" s="4" t="s">
        <v>209</v>
      </c>
      <c r="B147" s="5">
        <f>$N$19</f>
        <v>202250117</v>
      </c>
      <c r="C147" s="5">
        <f>C43</f>
        <v>12005084.82</v>
      </c>
      <c r="D147" s="5">
        <f>C44</f>
        <v>38176081.32</v>
      </c>
      <c r="E147" s="5">
        <f>C46</f>
        <v>7058195.852</v>
      </c>
      <c r="F147" s="5">
        <f>C47</f>
        <v>19088040.66</v>
      </c>
      <c r="G147" s="5">
        <f>B147+C147+D147-E147-F147</f>
        <v>226285046.6</v>
      </c>
    </row>
    <row r="148" ht="14.25" customHeight="1"/>
    <row r="149" ht="14.25" customHeight="1"/>
    <row r="150" ht="14.25" customHeight="1">
      <c r="A150" s="1" t="s">
        <v>210</v>
      </c>
    </row>
    <row r="151" ht="14.25" customHeight="1">
      <c r="A151" s="2" t="s">
        <v>211</v>
      </c>
      <c r="B151" s="2" t="s">
        <v>212</v>
      </c>
      <c r="C151" s="2" t="s">
        <v>213</v>
      </c>
      <c r="D151" s="2" t="s">
        <v>214</v>
      </c>
      <c r="E151" s="2" t="s">
        <v>215</v>
      </c>
      <c r="F151" s="2" t="s">
        <v>216</v>
      </c>
      <c r="G151" s="2" t="s">
        <v>217</v>
      </c>
      <c r="H151" s="2" t="s">
        <v>218</v>
      </c>
    </row>
    <row r="152" ht="14.25" customHeight="1">
      <c r="A152" s="19">
        <v>0.0</v>
      </c>
      <c r="B152" s="4" t="s">
        <v>219</v>
      </c>
      <c r="C152" s="5">
        <v>8408.7</v>
      </c>
      <c r="D152" s="5">
        <v>0.0</v>
      </c>
      <c r="E152" s="5">
        <f t="shared" ref="E152:E175" si="81">C152-D152</f>
        <v>8408.7</v>
      </c>
      <c r="F152" s="5">
        <v>-3849.6</v>
      </c>
      <c r="G152" s="5">
        <v>0.0</v>
      </c>
      <c r="H152" s="5">
        <f t="shared" ref="H152:H175" si="82">E152-F152-G152</f>
        <v>12258.3</v>
      </c>
    </row>
    <row r="153" ht="14.25" customHeight="1">
      <c r="A153" s="19">
        <v>1.0</v>
      </c>
      <c r="B153" s="4" t="s">
        <v>219</v>
      </c>
      <c r="C153" s="5">
        <v>8408.7</v>
      </c>
      <c r="D153" s="5">
        <v>0.0</v>
      </c>
      <c r="E153" s="5">
        <f t="shared" si="81"/>
        <v>8408.7</v>
      </c>
      <c r="F153" s="5">
        <v>-3849.6</v>
      </c>
      <c r="G153" s="5">
        <v>0.0</v>
      </c>
      <c r="H153" s="5">
        <f t="shared" si="82"/>
        <v>12258.3</v>
      </c>
    </row>
    <row r="154" ht="14.25" customHeight="1">
      <c r="A154" s="19">
        <v>2.0</v>
      </c>
      <c r="B154" s="4" t="s">
        <v>219</v>
      </c>
      <c r="C154" s="5">
        <v>8408.7</v>
      </c>
      <c r="D154" s="5">
        <v>0.0</v>
      </c>
      <c r="E154" s="5">
        <f t="shared" si="81"/>
        <v>8408.7</v>
      </c>
      <c r="F154" s="5">
        <v>-3849.6</v>
      </c>
      <c r="G154" s="5">
        <v>0.0</v>
      </c>
      <c r="H154" s="5">
        <f t="shared" si="82"/>
        <v>12258.3</v>
      </c>
    </row>
    <row r="155" ht="14.25" customHeight="1">
      <c r="A155" s="19">
        <v>3.0</v>
      </c>
      <c r="B155" s="4" t="s">
        <v>219</v>
      </c>
      <c r="C155" s="5">
        <v>8507.7</v>
      </c>
      <c r="D155" s="5">
        <v>0.0</v>
      </c>
      <c r="E155" s="5">
        <f t="shared" si="81"/>
        <v>8507.7</v>
      </c>
      <c r="F155" s="5">
        <v>-3849.6</v>
      </c>
      <c r="G155" s="5">
        <v>0.0</v>
      </c>
      <c r="H155" s="5">
        <f t="shared" si="82"/>
        <v>12357.3</v>
      </c>
    </row>
    <row r="156" ht="14.25" customHeight="1">
      <c r="A156" s="19">
        <v>4.0</v>
      </c>
      <c r="B156" s="4" t="s">
        <v>219</v>
      </c>
      <c r="C156" s="5">
        <v>8705.5</v>
      </c>
      <c r="D156" s="5">
        <v>0.0</v>
      </c>
      <c r="E156" s="5">
        <f t="shared" si="81"/>
        <v>8705.5</v>
      </c>
      <c r="F156" s="5">
        <v>-3849.6</v>
      </c>
      <c r="G156" s="5">
        <v>0.0</v>
      </c>
      <c r="H156" s="5">
        <f t="shared" si="82"/>
        <v>12555.1</v>
      </c>
    </row>
    <row r="157" ht="14.25" customHeight="1">
      <c r="A157" s="19">
        <v>5.0</v>
      </c>
      <c r="B157" s="4" t="s">
        <v>219</v>
      </c>
      <c r="C157" s="5">
        <v>9101.2</v>
      </c>
      <c r="D157" s="5">
        <v>0.0</v>
      </c>
      <c r="E157" s="5">
        <f t="shared" si="81"/>
        <v>9101.2</v>
      </c>
      <c r="F157" s="5">
        <v>-3849.6</v>
      </c>
      <c r="G157" s="5">
        <v>0.0</v>
      </c>
      <c r="H157" s="5">
        <f t="shared" si="82"/>
        <v>12950.8</v>
      </c>
    </row>
    <row r="158" ht="14.25" customHeight="1">
      <c r="A158" s="19">
        <v>6.0</v>
      </c>
      <c r="B158" s="4" t="s">
        <v>220</v>
      </c>
      <c r="C158" s="5">
        <v>9694.8</v>
      </c>
      <c r="D158" s="5">
        <v>0.0</v>
      </c>
      <c r="E158" s="5">
        <f t="shared" si="81"/>
        <v>9694.8</v>
      </c>
      <c r="F158" s="5">
        <v>0.0</v>
      </c>
      <c r="G158" s="5">
        <v>0.0</v>
      </c>
      <c r="H158" s="5">
        <f t="shared" si="82"/>
        <v>9694.8</v>
      </c>
    </row>
    <row r="159" ht="14.25" customHeight="1">
      <c r="A159" s="19">
        <v>7.0</v>
      </c>
      <c r="B159" s="4" t="s">
        <v>220</v>
      </c>
      <c r="C159" s="5">
        <v>10387.3</v>
      </c>
      <c r="D159" s="5">
        <v>547.1</v>
      </c>
      <c r="E159" s="5">
        <f t="shared" si="81"/>
        <v>9840.2</v>
      </c>
      <c r="F159" s="5">
        <v>0.0</v>
      </c>
      <c r="G159" s="5">
        <v>0.0</v>
      </c>
      <c r="H159" s="5">
        <f t="shared" si="82"/>
        <v>9840.2</v>
      </c>
    </row>
    <row r="160" ht="14.25" customHeight="1">
      <c r="A160" s="19">
        <v>8.0</v>
      </c>
      <c r="B160" s="4" t="s">
        <v>220</v>
      </c>
      <c r="C160" s="5">
        <v>11079.8</v>
      </c>
      <c r="D160" s="5">
        <v>1059.8</v>
      </c>
      <c r="E160" s="5">
        <f t="shared" si="81"/>
        <v>10020</v>
      </c>
      <c r="F160" s="5">
        <v>0.0</v>
      </c>
      <c r="G160" s="5">
        <v>0.0</v>
      </c>
      <c r="H160" s="5">
        <f t="shared" si="82"/>
        <v>10020</v>
      </c>
    </row>
    <row r="161" ht="14.25" customHeight="1">
      <c r="A161" s="19">
        <v>9.0</v>
      </c>
      <c r="B161" s="4" t="s">
        <v>220</v>
      </c>
      <c r="C161" s="5">
        <v>11376.5</v>
      </c>
      <c r="D161" s="5">
        <v>1505.9</v>
      </c>
      <c r="E161" s="5">
        <f t="shared" si="81"/>
        <v>9870.6</v>
      </c>
      <c r="F161" s="5">
        <v>0.0</v>
      </c>
      <c r="G161" s="5">
        <v>0.0</v>
      </c>
      <c r="H161" s="5">
        <f t="shared" si="82"/>
        <v>9870.6</v>
      </c>
    </row>
    <row r="162" ht="14.25" customHeight="1">
      <c r="A162" s="19">
        <v>10.0</v>
      </c>
      <c r="B162" s="4" t="s">
        <v>220</v>
      </c>
      <c r="C162" s="5">
        <v>11475.5</v>
      </c>
      <c r="D162" s="5">
        <v>1857.4</v>
      </c>
      <c r="E162" s="5">
        <f t="shared" si="81"/>
        <v>9618.1</v>
      </c>
      <c r="F162" s="5">
        <v>0.0</v>
      </c>
      <c r="G162" s="5">
        <v>0.0</v>
      </c>
      <c r="H162" s="5">
        <f t="shared" si="82"/>
        <v>9618.1</v>
      </c>
    </row>
    <row r="163" ht="14.25" customHeight="1">
      <c r="A163" s="19">
        <v>11.0</v>
      </c>
      <c r="B163" s="4" t="s">
        <v>220</v>
      </c>
      <c r="C163" s="5">
        <v>11475.5</v>
      </c>
      <c r="D163" s="5">
        <v>2092.2</v>
      </c>
      <c r="E163" s="5">
        <f t="shared" si="81"/>
        <v>9383.3</v>
      </c>
      <c r="F163" s="5">
        <v>0.0</v>
      </c>
      <c r="G163" s="5">
        <v>0.0</v>
      </c>
      <c r="H163" s="5">
        <f t="shared" si="82"/>
        <v>9383.3</v>
      </c>
    </row>
    <row r="164" ht="14.25" customHeight="1">
      <c r="A164" s="19">
        <v>12.0</v>
      </c>
      <c r="B164" s="4" t="s">
        <v>220</v>
      </c>
      <c r="C164" s="5">
        <v>11475.5</v>
      </c>
      <c r="D164" s="5">
        <v>2195.6</v>
      </c>
      <c r="E164" s="5">
        <f t="shared" si="81"/>
        <v>9279.9</v>
      </c>
      <c r="F164" s="5">
        <v>0.0</v>
      </c>
      <c r="G164" s="5">
        <v>0.0</v>
      </c>
      <c r="H164" s="5">
        <f t="shared" si="82"/>
        <v>9279.9</v>
      </c>
    </row>
    <row r="165" ht="14.25" customHeight="1">
      <c r="A165" s="19">
        <v>13.0</v>
      </c>
      <c r="B165" s="4" t="s">
        <v>220</v>
      </c>
      <c r="C165" s="5">
        <v>11376.5</v>
      </c>
      <c r="D165" s="5">
        <v>2160.9</v>
      </c>
      <c r="E165" s="5">
        <f t="shared" si="81"/>
        <v>9215.6</v>
      </c>
      <c r="F165" s="5">
        <v>0.0</v>
      </c>
      <c r="G165" s="5">
        <v>0.0</v>
      </c>
      <c r="H165" s="5">
        <f t="shared" si="82"/>
        <v>9215.6</v>
      </c>
    </row>
    <row r="166" ht="14.25" customHeight="1">
      <c r="A166" s="19">
        <v>14.0</v>
      </c>
      <c r="B166" s="4" t="s">
        <v>220</v>
      </c>
      <c r="C166" s="5">
        <v>11277.6</v>
      </c>
      <c r="D166" s="5">
        <v>1990.5</v>
      </c>
      <c r="E166" s="5">
        <f t="shared" si="81"/>
        <v>9287.1</v>
      </c>
      <c r="F166" s="5">
        <v>0.0</v>
      </c>
      <c r="G166" s="5">
        <v>0.0</v>
      </c>
      <c r="H166" s="5">
        <f t="shared" si="82"/>
        <v>9287.1</v>
      </c>
    </row>
    <row r="167" ht="14.25" customHeight="1">
      <c r="A167" s="19">
        <v>15.0</v>
      </c>
      <c r="B167" s="4" t="s">
        <v>220</v>
      </c>
      <c r="C167" s="5">
        <v>11178.7</v>
      </c>
      <c r="D167" s="5">
        <v>1695.1</v>
      </c>
      <c r="E167" s="5">
        <f t="shared" si="81"/>
        <v>9483.6</v>
      </c>
      <c r="F167" s="5">
        <v>0.0</v>
      </c>
      <c r="G167" s="5">
        <v>0.0</v>
      </c>
      <c r="H167" s="5">
        <f t="shared" si="82"/>
        <v>9483.6</v>
      </c>
    </row>
    <row r="168" ht="14.25" customHeight="1">
      <c r="A168" s="19">
        <v>16.0</v>
      </c>
      <c r="B168" s="4" t="s">
        <v>220</v>
      </c>
      <c r="C168" s="5">
        <v>11079.8</v>
      </c>
      <c r="D168" s="5">
        <v>1293.1</v>
      </c>
      <c r="E168" s="5">
        <f t="shared" si="81"/>
        <v>9786.7</v>
      </c>
      <c r="F168" s="5">
        <v>0.0</v>
      </c>
      <c r="G168" s="5">
        <v>0.0</v>
      </c>
      <c r="H168" s="5">
        <f t="shared" si="82"/>
        <v>9786.7</v>
      </c>
    </row>
    <row r="169" ht="14.25" customHeight="1">
      <c r="A169" s="19">
        <v>17.0</v>
      </c>
      <c r="B169" s="4" t="s">
        <v>220</v>
      </c>
      <c r="C169" s="5">
        <v>10881.9</v>
      </c>
      <c r="D169" s="5">
        <v>809.8</v>
      </c>
      <c r="E169" s="5">
        <f t="shared" si="81"/>
        <v>10072.1</v>
      </c>
      <c r="F169" s="5">
        <v>0.0</v>
      </c>
      <c r="G169" s="5">
        <v>0.0</v>
      </c>
      <c r="H169" s="5">
        <f t="shared" si="82"/>
        <v>10072.1</v>
      </c>
    </row>
    <row r="170" ht="14.25" customHeight="1">
      <c r="A170" s="19">
        <v>18.0</v>
      </c>
      <c r="B170" s="4" t="s">
        <v>221</v>
      </c>
      <c r="C170" s="5">
        <v>11079.8</v>
      </c>
      <c r="D170" s="5">
        <v>275.7</v>
      </c>
      <c r="E170" s="5">
        <f t="shared" si="81"/>
        <v>10804.1</v>
      </c>
      <c r="F170" s="5">
        <v>0.0</v>
      </c>
      <c r="G170" s="5">
        <f t="shared" ref="G170:G173" si="83">MIN($C$28,MAX(0,E170-$E$180))</f>
        <v>5460.350035</v>
      </c>
      <c r="H170" s="5">
        <f t="shared" si="82"/>
        <v>5343.749965</v>
      </c>
    </row>
    <row r="171" ht="14.25" customHeight="1">
      <c r="A171" s="19">
        <v>19.0</v>
      </c>
      <c r="B171" s="4" t="s">
        <v>221</v>
      </c>
      <c r="C171" s="5">
        <v>11277.6</v>
      </c>
      <c r="D171" s="5">
        <v>0.0</v>
      </c>
      <c r="E171" s="5">
        <f t="shared" si="81"/>
        <v>11277.6</v>
      </c>
      <c r="F171" s="5">
        <v>0.0</v>
      </c>
      <c r="G171" s="5">
        <f t="shared" si="83"/>
        <v>5933.850035</v>
      </c>
      <c r="H171" s="5">
        <f t="shared" si="82"/>
        <v>5343.749965</v>
      </c>
    </row>
    <row r="172" ht="14.25" customHeight="1">
      <c r="A172" s="19">
        <v>20.0</v>
      </c>
      <c r="B172" s="4" t="s">
        <v>221</v>
      </c>
      <c r="C172" s="5">
        <v>11079.8</v>
      </c>
      <c r="D172" s="5">
        <v>0.0</v>
      </c>
      <c r="E172" s="5">
        <f t="shared" si="81"/>
        <v>11079.8</v>
      </c>
      <c r="F172" s="5">
        <v>0.0</v>
      </c>
      <c r="G172" s="5">
        <f t="shared" si="83"/>
        <v>5736.050035</v>
      </c>
      <c r="H172" s="5">
        <f t="shared" si="82"/>
        <v>5343.749965</v>
      </c>
    </row>
    <row r="173" ht="14.25" customHeight="1">
      <c r="A173" s="19">
        <v>21.0</v>
      </c>
      <c r="B173" s="4" t="s">
        <v>221</v>
      </c>
      <c r="C173" s="5">
        <v>10387.3</v>
      </c>
      <c r="D173" s="5">
        <v>0.0</v>
      </c>
      <c r="E173" s="5">
        <f t="shared" si="81"/>
        <v>10387.3</v>
      </c>
      <c r="F173" s="5">
        <v>0.0</v>
      </c>
      <c r="G173" s="5">
        <f t="shared" si="83"/>
        <v>5043.550035</v>
      </c>
      <c r="H173" s="5">
        <f t="shared" si="82"/>
        <v>5343.749965</v>
      </c>
    </row>
    <row r="174" ht="14.25" customHeight="1">
      <c r="A174" s="19">
        <v>22.0</v>
      </c>
      <c r="B174" s="4" t="s">
        <v>220</v>
      </c>
      <c r="C174" s="5">
        <v>9398.0</v>
      </c>
      <c r="D174" s="5">
        <v>0.0</v>
      </c>
      <c r="E174" s="5">
        <f t="shared" si="81"/>
        <v>9398</v>
      </c>
      <c r="F174" s="5">
        <v>0.0</v>
      </c>
      <c r="G174" s="5">
        <v>0.0</v>
      </c>
      <c r="H174" s="5">
        <f t="shared" si="82"/>
        <v>9398</v>
      </c>
    </row>
    <row r="175" ht="14.25" customHeight="1">
      <c r="A175" s="19">
        <v>23.0</v>
      </c>
      <c r="B175" s="4" t="s">
        <v>220</v>
      </c>
      <c r="C175" s="5">
        <v>8705.5</v>
      </c>
      <c r="D175" s="5">
        <v>0.0</v>
      </c>
      <c r="E175" s="5">
        <f t="shared" si="81"/>
        <v>8705.5</v>
      </c>
      <c r="F175" s="5">
        <v>0.0</v>
      </c>
      <c r="G175" s="5">
        <v>0.0</v>
      </c>
      <c r="H175" s="5">
        <f t="shared" si="82"/>
        <v>8705.5</v>
      </c>
    </row>
    <row r="176" ht="14.25" customHeight="1"/>
    <row r="177" ht="14.25" customHeight="1">
      <c r="A177" s="3" t="s">
        <v>222</v>
      </c>
    </row>
    <row r="178" ht="14.25" customHeight="1">
      <c r="A178" s="4" t="s">
        <v>223</v>
      </c>
      <c r="E178" s="23">
        <f>MAX(E170:E173)</f>
        <v>11277.6</v>
      </c>
    </row>
    <row r="179" ht="14.25" customHeight="1">
      <c r="A179" s="4" t="s">
        <v>224</v>
      </c>
      <c r="E179" s="23">
        <f>$C$30</f>
        <v>22173.80014</v>
      </c>
    </row>
    <row r="180" ht="14.25" customHeight="1">
      <c r="A180" s="4" t="s">
        <v>225</v>
      </c>
      <c r="E180" s="23">
        <f>MAX(0,(SUM(E170:E173)-MIN($C$30,SUM(E170:E173)))/4)</f>
        <v>5343.749965</v>
      </c>
    </row>
    <row r="181" ht="14.25" customHeight="1">
      <c r="A181" s="4" t="s">
        <v>226</v>
      </c>
      <c r="E181" s="23">
        <f>MAX(H170:H173)</f>
        <v>5343.749965</v>
      </c>
    </row>
    <row r="182" ht="14.25" customHeight="1">
      <c r="A182" s="3" t="s">
        <v>227</v>
      </c>
      <c r="E182" s="24">
        <f>E178-E181</f>
        <v>5933.850035</v>
      </c>
    </row>
    <row r="183" ht="14.25" customHeight="1">
      <c r="A183" s="4" t="s">
        <v>228</v>
      </c>
      <c r="E183" s="5">
        <f>E182*AVERAGE(B17:M17)</f>
        <v>2531434.818</v>
      </c>
    </row>
    <row r="184" ht="14.25" customHeight="1">
      <c r="A184" s="29" t="s">
        <v>229</v>
      </c>
    </row>
    <row r="185" ht="14.25" customHeight="1"/>
    <row r="186" ht="14.25" customHeight="1">
      <c r="A186" s="3" t="s">
        <v>230</v>
      </c>
    </row>
    <row r="187" ht="14.25" customHeight="1">
      <c r="A187" s="3" t="s">
        <v>211</v>
      </c>
      <c r="B187" s="3" t="s">
        <v>212</v>
      </c>
      <c r="C187" s="3" t="s">
        <v>213</v>
      </c>
      <c r="D187" s="3" t="s">
        <v>214</v>
      </c>
      <c r="E187" s="3" t="s">
        <v>215</v>
      </c>
      <c r="F187" s="3" t="s">
        <v>216</v>
      </c>
      <c r="G187" s="3" t="s">
        <v>217</v>
      </c>
      <c r="H187" s="3" t="s">
        <v>218</v>
      </c>
    </row>
    <row r="188" ht="14.25" customHeight="1">
      <c r="A188" s="4">
        <v>0.0</v>
      </c>
      <c r="B188" s="4" t="s">
        <v>219</v>
      </c>
      <c r="C188" s="4">
        <v>8408.7</v>
      </c>
      <c r="D188" s="4">
        <v>0.0</v>
      </c>
      <c r="E188" s="4">
        <f t="shared" ref="E188:E211" si="84">C188-D188</f>
        <v>8408.7</v>
      </c>
      <c r="F188" s="4">
        <v>-3849.6</v>
      </c>
      <c r="G188" s="4">
        <v>0.0</v>
      </c>
      <c r="H188" s="4">
        <f t="shared" ref="H188:H211" si="85">E188-F188-G188</f>
        <v>12258.3</v>
      </c>
    </row>
    <row r="189" ht="14.25" customHeight="1">
      <c r="A189" s="4">
        <v>1.0</v>
      </c>
      <c r="B189" s="4" t="s">
        <v>219</v>
      </c>
      <c r="C189" s="4">
        <v>8408.7</v>
      </c>
      <c r="D189" s="4">
        <v>0.0</v>
      </c>
      <c r="E189" s="4">
        <f t="shared" si="84"/>
        <v>8408.7</v>
      </c>
      <c r="F189" s="4">
        <v>-3849.6</v>
      </c>
      <c r="G189" s="4">
        <v>0.0</v>
      </c>
      <c r="H189" s="4">
        <f t="shared" si="85"/>
        <v>12258.3</v>
      </c>
    </row>
    <row r="190" ht="14.25" customHeight="1">
      <c r="A190" s="4">
        <v>2.0</v>
      </c>
      <c r="B190" s="4" t="s">
        <v>219</v>
      </c>
      <c r="C190" s="4">
        <v>8408.7</v>
      </c>
      <c r="D190" s="4">
        <v>0.0</v>
      </c>
      <c r="E190" s="4">
        <f t="shared" si="84"/>
        <v>8408.7</v>
      </c>
      <c r="F190" s="4">
        <v>-3849.6</v>
      </c>
      <c r="G190" s="4">
        <v>0.0</v>
      </c>
      <c r="H190" s="4">
        <f t="shared" si="85"/>
        <v>12258.3</v>
      </c>
    </row>
    <row r="191" ht="14.25" customHeight="1">
      <c r="A191" s="4">
        <v>3.0</v>
      </c>
      <c r="B191" s="4" t="s">
        <v>219</v>
      </c>
      <c r="C191" s="4">
        <v>8507.7</v>
      </c>
      <c r="D191" s="4">
        <v>0.0</v>
      </c>
      <c r="E191" s="4">
        <f t="shared" si="84"/>
        <v>8507.7</v>
      </c>
      <c r="F191" s="4">
        <v>-3849.6</v>
      </c>
      <c r="G191" s="4">
        <v>0.0</v>
      </c>
      <c r="H191" s="4">
        <f t="shared" si="85"/>
        <v>12357.3</v>
      </c>
    </row>
    <row r="192" ht="14.25" customHeight="1">
      <c r="A192" s="4">
        <v>4.0</v>
      </c>
      <c r="B192" s="4" t="s">
        <v>219</v>
      </c>
      <c r="C192" s="4">
        <v>8705.5</v>
      </c>
      <c r="D192" s="4">
        <v>0.0</v>
      </c>
      <c r="E192" s="4">
        <f t="shared" si="84"/>
        <v>8705.5</v>
      </c>
      <c r="F192" s="4">
        <v>-3849.6</v>
      </c>
      <c r="G192" s="4">
        <v>0.0</v>
      </c>
      <c r="H192" s="4">
        <f t="shared" si="85"/>
        <v>12555.1</v>
      </c>
    </row>
    <row r="193" ht="14.25" customHeight="1">
      <c r="A193" s="4">
        <v>5.0</v>
      </c>
      <c r="B193" s="4" t="s">
        <v>219</v>
      </c>
      <c r="C193" s="4">
        <v>9101.2</v>
      </c>
      <c r="D193" s="4">
        <v>0.0</v>
      </c>
      <c r="E193" s="4">
        <f t="shared" si="84"/>
        <v>9101.2</v>
      </c>
      <c r="F193" s="4">
        <v>-3849.6</v>
      </c>
      <c r="G193" s="4">
        <v>0.0</v>
      </c>
      <c r="H193" s="4">
        <f t="shared" si="85"/>
        <v>12950.8</v>
      </c>
    </row>
    <row r="194" ht="14.25" customHeight="1">
      <c r="A194" s="4">
        <v>6.0</v>
      </c>
      <c r="B194" s="4" t="s">
        <v>220</v>
      </c>
      <c r="C194" s="4">
        <v>9694.8</v>
      </c>
      <c r="D194" s="4">
        <v>0.0</v>
      </c>
      <c r="E194" s="4">
        <f t="shared" si="84"/>
        <v>9694.8</v>
      </c>
      <c r="F194" s="4">
        <v>0.0</v>
      </c>
      <c r="G194" s="4">
        <v>0.0</v>
      </c>
      <c r="H194" s="4">
        <f t="shared" si="85"/>
        <v>9694.8</v>
      </c>
    </row>
    <row r="195" ht="14.25" customHeight="1">
      <c r="A195" s="4">
        <v>7.0</v>
      </c>
      <c r="B195" s="4" t="s">
        <v>220</v>
      </c>
      <c r="C195" s="4">
        <v>10387.3</v>
      </c>
      <c r="D195" s="4">
        <v>547.1</v>
      </c>
      <c r="E195" s="4">
        <f t="shared" si="84"/>
        <v>9840.2</v>
      </c>
      <c r="F195" s="4">
        <v>0.0</v>
      </c>
      <c r="G195" s="4">
        <v>0.0</v>
      </c>
      <c r="H195" s="4">
        <f t="shared" si="85"/>
        <v>9840.2</v>
      </c>
    </row>
    <row r="196" ht="14.25" customHeight="1">
      <c r="A196" s="4">
        <v>8.0</v>
      </c>
      <c r="B196" s="4" t="s">
        <v>220</v>
      </c>
      <c r="C196" s="4">
        <v>11079.8</v>
      </c>
      <c r="D196" s="4">
        <v>1059.8</v>
      </c>
      <c r="E196" s="4">
        <f t="shared" si="84"/>
        <v>10020</v>
      </c>
      <c r="F196" s="4">
        <v>0.0</v>
      </c>
      <c r="G196" s="4">
        <v>0.0</v>
      </c>
      <c r="H196" s="4">
        <f t="shared" si="85"/>
        <v>10020</v>
      </c>
    </row>
    <row r="197" ht="14.25" customHeight="1">
      <c r="A197" s="4">
        <v>9.0</v>
      </c>
      <c r="B197" s="4" t="s">
        <v>220</v>
      </c>
      <c r="C197" s="4">
        <v>11376.5</v>
      </c>
      <c r="D197" s="4">
        <v>1505.9</v>
      </c>
      <c r="E197" s="4">
        <f t="shared" si="84"/>
        <v>9870.6</v>
      </c>
      <c r="F197" s="4">
        <v>0.0</v>
      </c>
      <c r="G197" s="4">
        <v>0.0</v>
      </c>
      <c r="H197" s="4">
        <f t="shared" si="85"/>
        <v>9870.6</v>
      </c>
    </row>
    <row r="198" ht="14.25" customHeight="1">
      <c r="A198" s="4">
        <v>10.0</v>
      </c>
      <c r="B198" s="4" t="s">
        <v>220</v>
      </c>
      <c r="C198" s="4">
        <v>11475.5</v>
      </c>
      <c r="D198" s="4">
        <v>1857.4</v>
      </c>
      <c r="E198" s="4">
        <f t="shared" si="84"/>
        <v>9618.1</v>
      </c>
      <c r="F198" s="4">
        <v>0.0</v>
      </c>
      <c r="G198" s="4">
        <v>0.0</v>
      </c>
      <c r="H198" s="4">
        <f t="shared" si="85"/>
        <v>9618.1</v>
      </c>
    </row>
    <row r="199" ht="14.25" customHeight="1">
      <c r="A199" s="4">
        <v>11.0</v>
      </c>
      <c r="B199" s="4" t="s">
        <v>220</v>
      </c>
      <c r="C199" s="4">
        <v>11475.5</v>
      </c>
      <c r="D199" s="4">
        <v>2092.2</v>
      </c>
      <c r="E199" s="4">
        <f t="shared" si="84"/>
        <v>9383.3</v>
      </c>
      <c r="F199" s="4">
        <v>0.0</v>
      </c>
      <c r="G199" s="4">
        <v>0.0</v>
      </c>
      <c r="H199" s="4">
        <f t="shared" si="85"/>
        <v>9383.3</v>
      </c>
    </row>
    <row r="200" ht="14.25" customHeight="1">
      <c r="A200" s="4">
        <v>12.0</v>
      </c>
      <c r="B200" s="4" t="s">
        <v>220</v>
      </c>
      <c r="C200" s="4">
        <v>11475.5</v>
      </c>
      <c r="D200" s="4">
        <v>2195.6</v>
      </c>
      <c r="E200" s="4">
        <f t="shared" si="84"/>
        <v>9279.9</v>
      </c>
      <c r="F200" s="4">
        <v>0.0</v>
      </c>
      <c r="G200" s="4">
        <v>0.0</v>
      </c>
      <c r="H200" s="4">
        <f t="shared" si="85"/>
        <v>9279.9</v>
      </c>
    </row>
    <row r="201" ht="14.25" customHeight="1">
      <c r="A201" s="4">
        <v>13.0</v>
      </c>
      <c r="B201" s="4" t="s">
        <v>220</v>
      </c>
      <c r="C201" s="4">
        <v>11376.5</v>
      </c>
      <c r="D201" s="4">
        <v>2160.9</v>
      </c>
      <c r="E201" s="4">
        <f t="shared" si="84"/>
        <v>9215.6</v>
      </c>
      <c r="F201" s="4">
        <v>0.0</v>
      </c>
      <c r="G201" s="4">
        <v>0.0</v>
      </c>
      <c r="H201" s="4">
        <f t="shared" si="85"/>
        <v>9215.6</v>
      </c>
    </row>
    <row r="202" ht="14.25" customHeight="1">
      <c r="A202" s="4">
        <v>14.0</v>
      </c>
      <c r="B202" s="4" t="s">
        <v>220</v>
      </c>
      <c r="C202" s="4">
        <v>11277.6</v>
      </c>
      <c r="D202" s="4">
        <v>1990.5</v>
      </c>
      <c r="E202" s="4">
        <f t="shared" si="84"/>
        <v>9287.1</v>
      </c>
      <c r="F202" s="4">
        <v>0.0</v>
      </c>
      <c r="G202" s="4">
        <v>0.0</v>
      </c>
      <c r="H202" s="4">
        <f t="shared" si="85"/>
        <v>9287.1</v>
      </c>
    </row>
    <row r="203" ht="14.25" customHeight="1">
      <c r="A203" s="4">
        <v>15.0</v>
      </c>
      <c r="B203" s="4" t="s">
        <v>220</v>
      </c>
      <c r="C203" s="4">
        <v>11178.7</v>
      </c>
      <c r="D203" s="4">
        <v>1695.1</v>
      </c>
      <c r="E203" s="4">
        <f t="shared" si="84"/>
        <v>9483.6</v>
      </c>
      <c r="F203" s="4">
        <v>0.0</v>
      </c>
      <c r="G203" s="4">
        <v>0.0</v>
      </c>
      <c r="H203" s="4">
        <f t="shared" si="85"/>
        <v>9483.6</v>
      </c>
    </row>
    <row r="204" ht="14.25" customHeight="1">
      <c r="A204" s="4">
        <v>16.0</v>
      </c>
      <c r="B204" s="4" t="s">
        <v>220</v>
      </c>
      <c r="C204" s="4">
        <v>11079.8</v>
      </c>
      <c r="D204" s="4">
        <v>1293.1</v>
      </c>
      <c r="E204" s="4">
        <f t="shared" si="84"/>
        <v>9786.7</v>
      </c>
      <c r="F204" s="4">
        <v>0.0</v>
      </c>
      <c r="G204" s="4">
        <v>0.0</v>
      </c>
      <c r="H204" s="4">
        <f t="shared" si="85"/>
        <v>9786.7</v>
      </c>
    </row>
    <row r="205" ht="14.25" customHeight="1">
      <c r="A205" s="4">
        <v>17.0</v>
      </c>
      <c r="B205" s="4" t="s">
        <v>220</v>
      </c>
      <c r="C205" s="4">
        <v>10881.9</v>
      </c>
      <c r="D205" s="4">
        <v>809.8</v>
      </c>
      <c r="E205" s="4">
        <f t="shared" si="84"/>
        <v>10072.1</v>
      </c>
      <c r="F205" s="4">
        <v>0.0</v>
      </c>
      <c r="G205" s="4">
        <v>0.0</v>
      </c>
      <c r="H205" s="4">
        <f t="shared" si="85"/>
        <v>10072.1</v>
      </c>
    </row>
    <row r="206" ht="14.25" customHeight="1">
      <c r="A206" s="4">
        <v>18.0</v>
      </c>
      <c r="B206" s="4" t="s">
        <v>220</v>
      </c>
      <c r="C206" s="4">
        <v>11079.8</v>
      </c>
      <c r="D206" s="4">
        <v>275.7</v>
      </c>
      <c r="E206" s="4">
        <f t="shared" si="84"/>
        <v>10804.1</v>
      </c>
      <c r="F206" s="4">
        <v>0.0</v>
      </c>
      <c r="G206" s="4">
        <v>0.0</v>
      </c>
      <c r="H206" s="4">
        <f t="shared" si="85"/>
        <v>10804.1</v>
      </c>
    </row>
    <row r="207" ht="14.25" customHeight="1">
      <c r="A207" s="4">
        <v>19.0</v>
      </c>
      <c r="B207" s="4" t="s">
        <v>220</v>
      </c>
      <c r="C207" s="4">
        <v>11277.6</v>
      </c>
      <c r="D207" s="4">
        <v>0.0</v>
      </c>
      <c r="E207" s="4">
        <f t="shared" si="84"/>
        <v>11277.6</v>
      </c>
      <c r="F207" s="4">
        <v>0.0</v>
      </c>
      <c r="G207" s="4">
        <v>0.0</v>
      </c>
      <c r="H207" s="4">
        <f t="shared" si="85"/>
        <v>11277.6</v>
      </c>
    </row>
    <row r="208" ht="14.25" customHeight="1">
      <c r="A208" s="4">
        <v>20.0</v>
      </c>
      <c r="B208" s="4" t="s">
        <v>221</v>
      </c>
      <c r="C208" s="4">
        <v>11079.8</v>
      </c>
      <c r="D208" s="4">
        <v>0.0</v>
      </c>
      <c r="E208" s="4">
        <f t="shared" si="84"/>
        <v>11079.8</v>
      </c>
      <c r="F208" s="4">
        <v>0.0</v>
      </c>
      <c r="G208" s="5">
        <f t="shared" ref="G208:G209" si="86">MIN($C$28,MAX(0,E208-$E$216))</f>
        <v>11079.8</v>
      </c>
      <c r="H208" s="5">
        <f t="shared" si="85"/>
        <v>0</v>
      </c>
    </row>
    <row r="209" ht="14.25" customHeight="1">
      <c r="A209" s="4">
        <v>21.0</v>
      </c>
      <c r="B209" s="4" t="s">
        <v>221</v>
      </c>
      <c r="C209" s="4">
        <v>10387.3</v>
      </c>
      <c r="D209" s="4">
        <v>0.0</v>
      </c>
      <c r="E209" s="4">
        <f t="shared" si="84"/>
        <v>10387.3</v>
      </c>
      <c r="F209" s="4">
        <v>0.0</v>
      </c>
      <c r="G209" s="5">
        <f t="shared" si="86"/>
        <v>10387.3</v>
      </c>
      <c r="H209" s="5">
        <f t="shared" si="85"/>
        <v>0</v>
      </c>
    </row>
    <row r="210" ht="14.25" customHeight="1">
      <c r="A210" s="4">
        <v>22.0</v>
      </c>
      <c r="B210" s="4" t="s">
        <v>220</v>
      </c>
      <c r="C210" s="4">
        <v>9398.0</v>
      </c>
      <c r="D210" s="4">
        <v>0.0</v>
      </c>
      <c r="E210" s="4">
        <f t="shared" si="84"/>
        <v>9398</v>
      </c>
      <c r="F210" s="4">
        <v>0.0</v>
      </c>
      <c r="G210" s="4">
        <v>0.0</v>
      </c>
      <c r="H210" s="4">
        <f t="shared" si="85"/>
        <v>9398</v>
      </c>
    </row>
    <row r="211" ht="14.25" customHeight="1">
      <c r="A211" s="4">
        <v>23.0</v>
      </c>
      <c r="B211" s="4" t="s">
        <v>220</v>
      </c>
      <c r="C211" s="4">
        <v>8705.5</v>
      </c>
      <c r="D211" s="4">
        <v>0.0</v>
      </c>
      <c r="E211" s="4">
        <f t="shared" si="84"/>
        <v>8705.5</v>
      </c>
      <c r="F211" s="4">
        <v>0.0</v>
      </c>
      <c r="G211" s="4">
        <v>0.0</v>
      </c>
      <c r="H211" s="4">
        <f t="shared" si="85"/>
        <v>8705.5</v>
      </c>
    </row>
    <row r="212" ht="14.25" customHeight="1"/>
    <row r="213" ht="14.25" customHeight="1">
      <c r="A213" s="3" t="s">
        <v>231</v>
      </c>
    </row>
    <row r="214" ht="14.25" customHeight="1">
      <c r="A214" s="4" t="s">
        <v>223</v>
      </c>
      <c r="E214" s="23">
        <f>MAX(E208:E209)</f>
        <v>11079.8</v>
      </c>
    </row>
    <row r="215" ht="14.25" customHeight="1">
      <c r="A215" s="4" t="s">
        <v>224</v>
      </c>
      <c r="E215" s="23">
        <f>$C$30</f>
        <v>22173.80014</v>
      </c>
    </row>
    <row r="216" ht="14.25" customHeight="1">
      <c r="A216" s="4" t="s">
        <v>225</v>
      </c>
      <c r="E216" s="23">
        <f>MAX(0,(SUM(E208:E209)-MIN($C$30,SUM(E208:E209)))/2)</f>
        <v>0</v>
      </c>
    </row>
    <row r="217" ht="14.25" customHeight="1">
      <c r="A217" s="4" t="s">
        <v>226</v>
      </c>
      <c r="E217" s="23">
        <f>MAX(H208:H209)</f>
        <v>0</v>
      </c>
    </row>
    <row r="218" ht="14.25" customHeight="1">
      <c r="A218" s="3" t="s">
        <v>227</v>
      </c>
      <c r="E218" s="24">
        <f>E214-E217</f>
        <v>11079.8</v>
      </c>
    </row>
    <row r="219" ht="14.25" customHeight="1">
      <c r="A219" s="29" t="s">
        <v>232</v>
      </c>
    </row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2026-07-08T01:44:44Z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2026-07-08T01:45:02Z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037f3256-14fb-475e-8c96-ab00b07dfd56</vt:lpwstr>
  </property>
  <property fmtid="{D5CDD505-2E9C-101B-9397-08002B2CF9AE}" pid="7" name="MSIP_Label_defa4170-0d19-0005-0004-bc88714345d2_ActionId">
    <vt:lpwstr>c34ba2a2-8ed4-4ef0-9b0e-dcf7dee05a20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